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452801e18d4d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采购清单" sheetId="1" r:id="R894c9907d3c54879"/>
    <x:sheet xmlns:r="http://schemas.openxmlformats.org/officeDocument/2006/relationships" name="PCB核对" sheetId="2" r:id="Rf526e8b6185847d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6">
    <x:font>
      <x:sz val="11"/>
      <x:name val="Carlito"/>
    </x:font>
    <x:font>
      <x:sz val="10"/>
      <x:color rgb="FF1F2937"/>
      <x:name val="Microsoft YaHei"/>
    </x:font>
    <x:font>
      <x:b/>
      <x:sz val="16"/>
      <x:color rgb="FF1F2937"/>
      <x:name val="Microsoft YaHei"/>
    </x:font>
    <x:font>
      <x:b/>
      <x:sz val="10"/>
      <x:color rgb="FF9A3412"/>
      <x:name val="Microsoft YaHei"/>
    </x:font>
    <x:font>
      <x:sz val="10"/>
      <x:color rgb="FF1D4ED8"/>
      <x:name val="Microsoft YaHei"/>
    </x:font>
    <x:font>
      <x:b/>
      <x:sz val="10"/>
      <x:color rgb="FFFFFFFF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F2F5F8"/>
      </x:patternFill>
    </x:fill>
    <x:fill>
      <x:patternFill patternType="solid">
        <x:fgColor rgb="FF243B53"/>
      </x:patternFill>
    </x:fill>
  </x:fills>
  <x:borders count="1">
    <x:border/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horizontal="right" vertical="center" wrapText="1"/>
    </x:xf>
    <x:xf numFmtId="200" fontId="1" fillId="2" borderId="0" xfId="0" applyNumberFormat="1" applyFont="1" applyFill="1" applyBorder="1" applyAlignment="1">
      <x:alignment horizontal="right"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1">
    <x:dxf>
      <x:font>
        <x:b/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eed1f1a9fd40cc" /><Relationship Type="http://schemas.openxmlformats.org/officeDocument/2006/relationships/theme" Target="/xl/theme/theme1.xml" Id="R00dc80900e654e1e" /><Relationship Type="http://schemas.openxmlformats.org/officeDocument/2006/relationships/sharedStrings" Target="/xl/sharedStrings.xml" Id="R57dd068907fc4586" /><Relationship Type="http://schemas.openxmlformats.org/officeDocument/2006/relationships/worksheet" Target="/xl/worksheets/sheet1.xml" Id="R894c9907d3c54879" /><Relationship Type="http://schemas.openxmlformats.org/officeDocument/2006/relationships/worksheet" Target="/xl/worksheets/sheet2.xml" Id="Rf526e8b6185847d2" /></Relationships>
</file>

<file path=xl/tables/table1.xml><?xml version="1.0" encoding="utf-8"?>
<x:table xmlns:x="http://schemas.openxmlformats.org/spreadsheetml/2006/main" id="1" name="HardwareList" displayName="HardwareList" ref="A7:L54" headerRowCount="1" totalsRowCount="0" totalsRowShown="0">
  <x:tableColumns count="12">
    <x:tableColumn id="1" name="编号"/>
    <x:tableColumn id="2" name="用途"/>
    <x:tableColumn id="3" name="硬件名称"/>
    <x:tableColumn id="4" name="数量"/>
    <x:tableColumn id="5" name="单位"/>
    <x:tableColumn id="6" name="下单规格"/>
    <x:tableColumn id="7" name="PCB兼容性 / 接线要求"/>
    <x:tableColumn id="8" name="京东淘宝搜索词"/>
    <x:tableColumn id="9" name="京东搜索"/>
    <x:tableColumn id="10" name="淘宝搜索"/>
    <x:tableColumn id="11" name="采购核验状态"/>
    <x:tableColumn id="12" name="已查到的证据 / 依据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7af93328ed34e4e" /></Relationships>
</file>

<file path=xl/worksheets/sheet1.xml><?xml version="1.0" encoding="utf-8"?>
<x:worksheet xmlns:x="http://schemas.openxmlformats.org/spreadsheetml/2006/main">
  <x:sheetPr>
    <x:tabColor rgb="FF243B53"/>
  </x:sheetPr>
  <x:sheetViews>
    <x:sheetView showGridLines="0" workbookViewId="0">
      <x:pane xSplit="3" ySplit="7" topLeftCell="D8" activePane="bottomRight" state="frozen"/>
    </x:sheetView>
  </x:sheetViews>
  <x:sheetFormatPr defaultRowHeight="15"/>
  <x:cols>
    <x:col min="1" max="1" width="6" hidden="0" customWidth="1"/>
    <x:col min="2" max="2" width="14" hidden="0" customWidth="1"/>
    <x:col min="3" max="3" width="28" hidden="0" customWidth="1"/>
    <x:col min="4" max="4" width="7" hidden="0" customWidth="1"/>
    <x:col min="5" max="5" width="7" hidden="0" customWidth="1"/>
    <x:col min="6" max="6" width="57" hidden="0" customWidth="1"/>
    <x:col min="7" max="7" width="63" hidden="0" customWidth="1"/>
    <x:col min="8" max="8" width="40" hidden="0" customWidth="1"/>
    <x:col min="9" max="9" width="13" hidden="0" customWidth="1"/>
    <x:col min="10" max="10" width="13" hidden="0" customWidth="1"/>
    <x:col min="11" max="11" width="40" hidden="0" customWidth="1"/>
    <x:col min="12" max="12" width="58" hidden="0" customWidth="1"/>
  </x:cols>
  <x:sheetData>
    <x:row r="1" ht="28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8" customHeight="1">
      <x:c r="A2" s="3" t="str">
        <x:v>矿山安全监测系统硬件采购清单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8" customHeight="1">
      <x:c r="A3" s="2" t="str">
        <x:v>范围：2个井下节点 + 1个地面网关 + 1套离线语音输入。方案版本2026-09-09，核查日期2026-09-11。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8" customHeight="1">
      <x:c r="A4" s="4" t="str">
        <x:v>重要：Q1/Q2/R1/R2/D1/C2缺原理图参数，不能直接按型号采购；详见“待定原位”和“PCB核对”。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28" customHeight="1">
      <x:c r="A5" s="2" t="str">
        <x:v>采购入口用于检索，不代表选定SKU或现货。京东有主要模块商品记录；淘宝商品页和库存未核验。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 ht="28" customHeight="1">
      <x:c r="A6" s="2" t="str">
        <x:v>数量为完整原型需求；短信条件项、备选外接、备件、工具按需选择。未核实成交价，不虚列预算。</x:v>
      </x:c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</x:row>
    <x:row r="7" ht="32" customHeight="1">
      <x:c r="A7" s="17" t="str">
        <x:v>编号</x:v>
      </x:c>
      <x:c r="B7" s="17" t="str">
        <x:v>用途</x:v>
      </x:c>
      <x:c r="C7" s="17" t="str">
        <x:v>硬件名称</x:v>
      </x:c>
      <x:c r="D7" s="17" t="str">
        <x:v>数量</x:v>
      </x:c>
      <x:c r="E7" s="17" t="str">
        <x:v>单位</x:v>
      </x:c>
      <x:c r="F7" s="17" t="str">
        <x:v>下单规格</x:v>
      </x:c>
      <x:c r="G7" s="17" t="str">
        <x:v>PCB兼容性 / 接线要求</x:v>
      </x:c>
      <x:c r="H7" s="17" t="str">
        <x:v>京东淘宝搜索词</x:v>
      </x:c>
      <x:c r="I7" s="17" t="str">
        <x:v>京东搜索</x:v>
      </x:c>
      <x:c r="J7" s="17" t="str">
        <x:v>淘宝搜索</x:v>
      </x:c>
      <x:c r="K7" s="17" t="str">
        <x:v>采购核验状态</x:v>
      </x:c>
      <x:c r="L7" s="17" t="str">
        <x:v>已查到的证据 / 依据</x:v>
      </x:c>
    </x:row>
    <x:row r="8" ht="76" customHeight="1">
      <x:c r="A8" s="6" t="str">
        <x:v>01</x:v>
      </x:c>
      <x:c r="B8" s="6" t="str">
        <x:v>主体</x:v>
      </x:c>
      <x:c r="C8" s="6" t="str">
        <x:v>原版 safety-system PCB</x:v>
      </x:c>
      <x:c r="D8" s="10" t="n">
        <x:v>3</x:v>
      </x:c>
      <x:c r="E8" s="6" t="str">
        <x:v>片</x:v>
      </x:c>
      <x:c r="F8" s="6" t="str">
        <x:v>2井下+1地面。以本地2026-04-22 Gerber打样，板框约99.187×62.992 mm。</x:v>
      </x:c>
      <x:c r="G8" s="6" t="str">
        <x:v>须按角色装配；尚未核完全部网络。双面FR-4、1.6 mm可作询价起点，非已知原版叠层。</x:v>
      </x:c>
      <x:c r="H8" s="6" t="str">
        <x:v>PCB打样 双面 Gerber</x:v>
      </x:c>
      <x:c r="I8" s="12" t="e">
        <x:f>HYPERLINK("https://search.jd.com/Search?keyword=PCB%E6%89%93%E6%A0%B7%20%E5%8F%8C%E9%9D%A2%20Gerber&amp;enc=utf-8","京东检索")</x:f>
        <x:v>HYPERLINK is not implemented. linkLocation=https://search.jd.com/Search?keyword=PCB%E6%89%93%E6%A0%B7%20%E5%8F%8C%E9%9D%A2%20Gerber&amp;enc=utf-8, friendlyName=京东检索</x:v>
      </x:c>
      <x:c r="J8" s="12" t="e">
        <x:f>HYPERLINK("https://s.taobao.com/search?q=PCB%E6%89%93%E6%A0%B7%20%E5%8F%8C%E9%9D%A2%20Gerber","淘宝检索")</x:f>
        <x:v>HYPERLINK is not implemented. linkLocation=https://s.taobao.com/search?q=PCB%E6%89%93%E6%A0%B7%20%E5%8F%8C%E9%9D%A2%20Gerber, friendlyName=淘宝检索</x:v>
      </x:c>
      <x:c r="K8" s="6" t="str">
        <x:v>定制打样，非现成商品</x:v>
      </x:c>
      <x:c r="L8" s="6" t="str">
        <x:v>https://github.com/SanchilaAmavi/mine-safety-system</x:v>
      </x:c>
    </x:row>
    <x:row r="9" ht="76" customHeight="1">
      <x:c r="A9" s="7" t="str">
        <x:v>02</x:v>
      </x:c>
      <x:c r="B9" s="7" t="str">
        <x:v>主体</x:v>
      </x:c>
      <x:c r="C9" s="7" t="str">
        <x:v>ESP32-S3 N16R8 开发板</x:v>
      </x:c>
      <x:c r="D9" s="11" t="n">
        <x:v>3</x:v>
      </x:c>
      <x:c r="E9" s="7" t="str">
        <x:v>块</x:v>
      </x:c>
      <x:c r="F9" s="7" t="str">
        <x:v>每侧22针，共44针；针距2.54 mm；两排中心距25.40 mm；16 MB Flash、8 MB PSRAM；双USB口外形。</x:v>
      </x:c>
      <x:c r="G9" s="7" t="str">
        <x:v>核对全部针序。N16R8只说明内存，不能保证板型。不要买MINI、CAM或裸模组。</x:v>
      </x:c>
      <x:c r="H9" s="7" t="str">
        <x:v>ESP32 S3 N16R8 44针 双Type C 开发板</x:v>
      </x:c>
      <x:c r="I9" s="13" t="e">
        <x:f>HYPERLINK("https://search.jd.com/Search?keyword=ESP32%20S3%20N16R8%2044%E9%92%88%20%E5%8F%8CType%20C%20%E5%BC%80%E5%8F%91%E6%9D%BF&amp;enc=utf-8","京东检索")</x:f>
        <x:v>HYPERLINK is not implemented. linkLocation=https://search.jd.com/Search?keyword=ESP32%20S3%20N16R8%2044%E9%92%88%20%E5%8F%8CType%20C%20%E5%BC%80%E5%8F%91%E6%9D%BF&amp;enc=utf-8, friendlyName=京东检索</x:v>
      </x:c>
      <x:c r="J9" s="13" t="e">
        <x:f>HYPERLINK("https://s.taobao.com/search?q=ESP32%20S3%20N16R8%2044%E9%92%88%20%E5%8F%8CType%20C%20%E5%BC%80%E5%8F%91%E6%9D%BF","淘宝检索")</x:f>
        <x:v>HYPERLINK is not implemented. linkLocation=https://s.taobao.com/search?q=ESP32%20S3%20N16R8%2044%E9%92%88%20%E5%8F%8CType%20C%20%E5%BC%80%E5%8F%91%E6%9D%BF, friendlyName=淘宝检索</x:v>
      </x:c>
      <x:c r="K9" s="7" t="str">
        <x:v>京东商品页；尺寸待卖家确认</x:v>
      </x:c>
      <x:c r="L9" s="7" t="str">
        <x:v>https://ic-item.jd.com/10136137497839.html</x:v>
      </x:c>
    </x:row>
    <x:row r="10" ht="76" customHeight="1">
      <x:c r="A10" s="6" t="str">
        <x:v>03</x:v>
      </x:c>
      <x:c r="B10" s="6" t="str">
        <x:v>主体</x:v>
      </x:c>
      <x:c r="C10" s="6" t="str">
        <x:v>Ra-02 SX1278 433 MHz模块</x:v>
      </x:c>
      <x:c r="D10" s="10" t="n">
        <x:v>3</x:v>
      </x:c>
      <x:c r="E10" s="6" t="str">
        <x:v>块</x:v>
      </x:c>
      <x:c r="F10" s="6" t="str">
        <x:v>SPI接口、3.3 V；配下面的2×8转接底板，选IPEX天线座版本。</x:v>
      </x:c>
      <x:c r="G10" s="6" t="str">
        <x:v>不要以串口LoRa、E32、SX1262、Ra-02裸贴片直接替换整套插接组件。</x:v>
      </x:c>
      <x:c r="H10" s="6" t="str">
        <x:v>安信可 Ra-02 SX1278 433MHz SPI 模块</x:v>
      </x:c>
      <x:c r="I10" s="12" t="e">
        <x:f>HYPERLINK("https://search.jd.com/Search?keyword=%E5%AE%89%E4%BF%A1%E5%8F%AF%20Ra-02%20SX1278%20433MHz%20SPI%20%E6%A8%A1%E5%9D%97&amp;enc=utf-8","京东检索")</x:f>
        <x:v>HYPERLINK is not implemented. linkLocation=https://search.jd.com/Search?keyword=%E5%AE%89%E4%BF%A1%E5%8F%AF%20Ra-02%20SX1278%20433MHz%20SPI%20%E6%A8%A1%E5%9D%97&amp;enc=utf-8, friendlyName=京东检索</x:v>
      </x:c>
      <x:c r="J10" s="12" t="e">
        <x:f>HYPERLINK("https://s.taobao.com/search?q=%E5%AE%89%E4%BF%A1%E5%8F%AF%20Ra-02%20SX1278%20433MHz%20SPI%20%E6%A8%A1%E5%9D%97","淘宝检索")</x:f>
        <x:v>HYPERLINK is not implemented. linkLocation=https://s.taobao.com/search?q=%E5%AE%89%E4%BF%A1%E5%8F%AF%20Ra-02%20SX1278%20433MHz%20SPI%20%E6%A8%A1%E5%9D%97, friendlyName=淘宝检索</x:v>
      </x:c>
      <x:c r="K10" s="6" t="str">
        <x:v>京东有相关组合商品记录</x:v>
      </x:c>
      <x:c r="L10" s="6" t="str">
        <x:v>https://i-search.jd.com/search?cid3=33684&amp;enc=utf-8&amp;keyword=%E8%BD%AC%E6%8E%A5%E6%9D%BF&amp;qrst=2&amp;rt=1&amp;stop=1&amp;vt=2</x:v>
      </x:c>
    </x:row>
    <x:row r="11" ht="76" customHeight="1">
      <x:c r="A11" s="7" t="str">
        <x:v>04</x:v>
      </x:c>
      <x:c r="B11" s="7" t="str">
        <x:v>主体</x:v>
      </x:c>
      <x:c r="C11" s="7" t="str">
        <x:v>Ra-02 专用转接底板</x:v>
      </x:c>
      <x:c r="D11" s="11" t="n">
        <x:v>3</x:v>
      </x:c>
      <x:c r="E11" s="7" t="str">
        <x:v>块</x:v>
      </x:c>
      <x:c r="F11" s="7" t="str">
        <x:v>2×8针；针距2.54 mm；两排中心距25.40 mm。优先买已焊Ra-02的同款蓝色底板。</x:v>
      </x:c>
      <x:c r="G11" s="7" t="str">
        <x:v>这是独立物料；若上一项买模块+底板组合，本项不要重复买。逐针核对SPI、DIO和电源。</x:v>
      </x:c>
      <x:c r="H11" s="7" t="str">
        <x:v>Ra-02 转接板 2.54 16针 25.4</x:v>
      </x:c>
      <x:c r="I11" s="13" t="e">
        <x:f>HYPERLINK("https://search.jd.com/Search?keyword=Ra-02%20%E8%BD%AC%E6%8E%A5%E6%9D%BF%202.54%2016%E9%92%88%2025.4&amp;enc=utf-8","京东检索")</x:f>
        <x:v>HYPERLINK is not implemented. linkLocation=https://search.jd.com/Search?keyword=Ra-02%20%E8%BD%AC%E6%8E%A5%E6%9D%BF%202.54%2016%E9%92%88%2025.4&amp;enc=utf-8, friendlyName=京东检索</x:v>
      </x:c>
      <x:c r="J11" s="13" t="e">
        <x:f>HYPERLINK("https://s.taobao.com/search?q=Ra-02%20%E8%BD%AC%E6%8E%A5%E6%9D%BF%202.54%2016%E9%92%88%2025.4","淘宝检索")</x:f>
        <x:v>HYPERLINK is not implemented. linkLocation=https://s.taobao.com/search?q=Ra-02%20%E8%BD%AC%E6%8E%A5%E6%9D%BF%202.54%2016%E9%92%88%2025.4, friendlyName=淘宝检索</x:v>
      </x:c>
      <x:c r="K11" s="7" t="str">
        <x:v>京东有组合商品；尺寸待核</x:v>
      </x:c>
      <x:c r="L11" s="7" t="str">
        <x:v>https://i-search.jd.com/search?cid3=33684&amp;enc=utf-8&amp;keyword=%E8%BD%AC%E6%8E%A5%E6%9D%BF&amp;qrst=2&amp;rt=1&amp;stop=1&amp;vt=2</x:v>
      </x:c>
    </x:row>
    <x:row r="12" ht="76" customHeight="1">
      <x:c r="A12" s="6" t="str">
        <x:v>05</x:v>
      </x:c>
      <x:c r="B12" s="6" t="str">
        <x:v>主体</x:v>
      </x:c>
      <x:c r="C12" s="6" t="str">
        <x:v>433 MHz天线</x:v>
      </x:c>
      <x:c r="D12" s="10" t="n">
        <x:v>3</x:v>
      </x:c>
      <x:c r="E12" s="6" t="str">
        <x:v>套</x:v>
      </x:c>
      <x:c r="F12" s="6" t="str">
        <x:v>匹配Ra-02 IPEX座。可选433MHz FPC天线，或IPEX转SMA馈线+433MHz胶棒天线。</x:v>
      </x:c>
      <x:c r="G12" s="6" t="str">
        <x:v>每个LoRa节点一套。按连接器实物匹配，勿买2.4GHz天线。</x:v>
      </x:c>
      <x:c r="H12" s="6" t="str">
        <x:v>433MHz IPEX 天线 Ra02</x:v>
      </x:c>
      <x:c r="I12" s="12" t="e">
        <x:f>HYPERLINK("https://search.jd.com/Search?keyword=433MHz%20IPEX%20%E5%A4%A9%E7%BA%BF%20Ra02&amp;enc=utf-8","京东检索")</x:f>
        <x:v>HYPERLINK is not implemented. linkLocation=https://search.jd.com/Search?keyword=433MHz%20IPEX%20%E5%A4%A9%E7%BA%BF%20Ra02&amp;enc=utf-8, friendlyName=京东检索</x:v>
      </x:c>
      <x:c r="J12" s="12" t="e">
        <x:f>HYPERLINK("https://s.taobao.com/search?q=433MHz%20IPEX%20%E5%A4%A9%E7%BA%BF%20Ra02","淘宝检索")</x:f>
        <x:v>HYPERLINK is not implemented. linkLocation=https://s.taobao.com/search?q=433MHz%20IPEX%20%E5%A4%A9%E7%BA%BF%20Ra02, friendlyName=淘宝检索</x:v>
      </x:c>
      <x:c r="K12" s="6" t="str">
        <x:v>京东组合商品含天线选项</x:v>
      </x:c>
      <x:c r="L12" s="6" t="str">
        <x:v>https://i-search.jd.com/search?cid3=33684&amp;enc=utf-8&amp;keyword=%E8%BD%AC%E6%8E%A5%E6%9D%BF&amp;qrst=2&amp;rt=1&amp;stop=1&amp;vt=2</x:v>
      </x:c>
    </x:row>
    <x:row r="13" ht="76" customHeight="1">
      <x:c r="A13" s="7" t="str">
        <x:v>06</x:v>
      </x:c>
      <x:c r="B13" s="7" t="str">
        <x:v>井下</x:v>
      </x:c>
      <x:c r="C13" s="7" t="str">
        <x:v>MQ-4甲烷传感器模块</x:v>
      </x:c>
      <x:c r="D13" s="11" t="n">
        <x:v>2</x:v>
      </x:c>
      <x:c r="E13" s="7" t="str">
        <x:v>块</x:v>
      </x:c>
      <x:c r="F13" s="7" t="str">
        <x:v>每个井下节点1块。带VCC、GND、AO、DO的完整模块，使用AO。</x:v>
      </x:c>
      <x:c r="G13" s="7" t="str">
        <x:v>通过4芯线按网络顺序连接；针距吻合不代表针序一致。5V供电时AO需保护。</x:v>
      </x:c>
      <x:c r="H13" s="7" t="str">
        <x:v>MQ-4 甲烷 传感器 模块 AO DO</x:v>
      </x:c>
      <x:c r="I13" s="13" t="e">
        <x:f>HYPERLINK("https://search.jd.com/Search?keyword=MQ-4%20%E7%94%B2%E7%83%B7%20%E4%BC%A0%E6%84%9F%E5%99%A8%20%E6%A8%A1%E5%9D%97%20AO%20DO&amp;enc=utf-8","京东检索")</x:f>
        <x:v>HYPERLINK is not implemented. linkLocation=https://search.jd.com/Search?keyword=MQ-4%20%E7%94%B2%E7%83%B7%20%E4%BC%A0%E6%84%9F%E5%99%A8%20%E6%A8%A1%E5%9D%97%20AO%20DO&amp;enc=utf-8, friendlyName=京东检索</x:v>
      </x:c>
      <x:c r="J13" s="13" t="e">
        <x:f>HYPERLINK("https://s.taobao.com/search?q=MQ-4%20%E7%94%B2%E7%83%B7%20%E4%BC%A0%E6%84%9F%E5%99%A8%20%E6%A8%A1%E5%9D%97%20AO%20DO","淘宝检索")</x:f>
        <x:v>HYPERLINK is not implemented. linkLocation=https://s.taobao.com/search?q=MQ-4%20%E7%94%B2%E7%83%B7%20%E4%BC%A0%E6%84%9F%E5%99%A8%20%E6%A8%A1%E5%9D%97%20AO%20DO, friendlyName=淘宝检索</x:v>
      </x:c>
      <x:c r="K13" s="7" t="str">
        <x:v>京东商品集合含MQ-4</x:v>
      </x:c>
      <x:c r="L13" s="7" t="str">
        <x:v>https://www.jd.com/jiage/17132b09fd5c257ce1a1.html</x:v>
      </x:c>
    </x:row>
    <x:row r="14" ht="76" customHeight="1">
      <x:c r="A14" s="6" t="str">
        <x:v>07</x:v>
      </x:c>
      <x:c r="B14" s="6" t="str">
        <x:v>井下</x:v>
      </x:c>
      <x:c r="C14" s="6" t="str">
        <x:v>MQ-7一氧化碳传感器模块</x:v>
      </x:c>
      <x:c r="D14" s="10" t="n">
        <x:v>2</x:v>
      </x:c>
      <x:c r="E14" s="6" t="str">
        <x:v>块</x:v>
      </x:c>
      <x:c r="F14" s="6" t="str">
        <x:v>每个井下节点1块。带AO的完整模块，勿买单独气敏头或误选MQ-2。</x:v>
      </x:c>
      <x:c r="G14" s="6" t="str">
        <x:v>按原方案做相对阈值演示；定量CO测量还需要相应型号规定的加热控制和标定。</x:v>
      </x:c>
      <x:c r="H14" s="6" t="str">
        <x:v>MQ-7 一氧化碳 传感器 模块 AO</x:v>
      </x:c>
      <x:c r="I14" s="12" t="e">
        <x:f>HYPERLINK("https://search.jd.com/Search?keyword=MQ-7%20%E4%B8%80%E6%B0%A7%E5%8C%96%E7%A2%B3%20%E4%BC%A0%E6%84%9F%E5%99%A8%20%E6%A8%A1%E5%9D%97%20AO&amp;enc=utf-8","京东检索")</x:f>
        <x:v>HYPERLINK is not implemented. linkLocation=https://search.jd.com/Search?keyword=MQ-7%20%E4%B8%80%E6%B0%A7%E5%8C%96%E7%A2%B3%20%E4%BC%A0%E6%84%9F%E5%99%A8%20%E6%A8%A1%E5%9D%97%20AO&amp;enc=utf-8, friendlyName=京东检索</x:v>
      </x:c>
      <x:c r="J14" s="12" t="e">
        <x:f>HYPERLINK("https://s.taobao.com/search?q=MQ-7%20%E4%B8%80%E6%B0%A7%E5%8C%96%E7%A2%B3%20%E4%BC%A0%E6%84%9F%E5%99%A8%20%E6%A8%A1%E5%9D%97%20AO","淘宝检索")</x:f>
        <x:v>HYPERLINK is not implemented. linkLocation=https://s.taobao.com/search?q=MQ-7%20%E4%B8%80%E6%B0%A7%E5%8C%96%E7%A2%B3%20%E4%BC%A0%E6%84%9F%E5%99%A8%20%E6%A8%A1%E5%9D%97%20AO, friendlyName=淘宝检索</x:v>
      </x:c>
      <x:c r="K14" s="6" t="str">
        <x:v>京东商品集合含MQ-7</x:v>
      </x:c>
      <x:c r="L14" s="6" t="str">
        <x:v>https://www.jd.com/jiage/17132b09fd5c257ce1a1.html</x:v>
      </x:c>
    </x:row>
    <x:row r="15" ht="76" customHeight="1">
      <x:c r="A15" s="7" t="str">
        <x:v>08</x:v>
      </x:c>
      <x:c r="B15" s="7" t="str">
        <x:v>井下</x:v>
      </x:c>
      <x:c r="C15" s="7" t="str">
        <x:v>三针模拟水位传感器</x:v>
      </x:c>
      <x:c r="D15" s="11" t="n">
        <x:v>2</x:v>
      </x:c>
      <x:c r="E15" s="7" t="str">
        <x:v>块</x:v>
      </x:c>
      <x:c r="F15" s="7" t="str">
        <x:v>每节点1块。Water Sensor红色板，S/+/-三线，优先选支持3.3V供电的型号。</x:v>
      </x:c>
      <x:c r="G15" s="7" t="str">
        <x:v>原固件analogRead，不能直接用只有开关量、RS485或4—20mA的产品替换。</x:v>
      </x:c>
      <x:c r="H15" s="7" t="str">
        <x:v>水位传感器 红板 Water Sensor 三针 模拟</x:v>
      </x:c>
      <x:c r="I15" s="13" t="e">
        <x:f>HYPERLINK("https://search.jd.com/Search?keyword=%E6%B0%B4%E4%BD%8D%E4%BC%A0%E6%84%9F%E5%99%A8%20%E7%BA%A2%E6%9D%BF%20Water%20Sensor%20%E4%B8%89%E9%92%88%20%E6%A8%A1%E6%8B%9F&amp;enc=utf-8","京东检索")</x:f>
        <x:v>HYPERLINK is not implemented. linkLocation=https://search.jd.com/Search?keyword=%E6%B0%B4%E4%BD%8D%E4%BC%A0%E6%84%9F%E5%99%A8%20%E7%BA%A2%E6%9D%BF%20Water%20Sensor%20%E4%B8%89%E9%92%88%20%E6%A8%A1%E6%8B%9F&amp;enc=utf-8, friendlyName=京东检索</x:v>
      </x:c>
      <x:c r="J15" s="13" t="e">
        <x:f>HYPERLINK("https://s.taobao.com/search?q=%E6%B0%B4%E4%BD%8D%E4%BC%A0%E6%84%9F%E5%99%A8%20%E7%BA%A2%E6%9D%BF%20Water%20Sensor%20%E4%B8%89%E9%92%88%20%E6%A8%A1%E6%8B%9F","淘宝检索")</x:f>
        <x:v>HYPERLINK is not implemented. linkLocation=https://s.taobao.com/search?q=%E6%B0%B4%E4%BD%8D%E4%BC%A0%E6%84%9F%E5%99%A8%20%E7%BA%A2%E6%9D%BF%20Water%20Sensor%20%E4%B8%89%E9%92%88%20%E6%A8%A1%E6%8B%9F, friendlyName=淘宝检索</x:v>
      </x:c>
      <x:c r="K15" s="7" t="str">
        <x:v>京东商品集合含红板</x:v>
      </x:c>
      <x:c r="L15" s="7" t="str">
        <x:v>https://www.jd.com/jiage/98556ba94db2ae3ea119.html?catID=33467</x:v>
      </x:c>
    </x:row>
    <x:row r="16" ht="76" customHeight="1">
      <x:c r="A16" s="6" t="str">
        <x:v>09</x:v>
      </x:c>
      <x:c r="B16" s="6" t="str">
        <x:v>井下</x:v>
      </x:c>
      <x:c r="C16" s="6" t="str">
        <x:v>DC12V有源警号</x:v>
      </x:c>
      <x:c r="D16" s="10" t="n">
        <x:v>2</x:v>
      </x:c>
      <x:c r="E16" s="6" t="str">
        <x:v>只</x:v>
      </x:c>
      <x:c r="F16" s="6" t="str">
        <x:v>每节点1只。建议小型两线、通电即响、额定电流不超过0.3A。</x:v>
      </x:c>
      <x:c r="G16" s="6" t="str">
        <x:v>经功率驱动级控制，不得接GPIO供电；核实负载电流后再定驱动元件。</x:v>
      </x:c>
      <x:c r="H16" s="6" t="str">
        <x:v>12V 有源警号 两线 小型</x:v>
      </x:c>
      <x:c r="I16" s="12" t="e">
        <x:f>HYPERLINK("https://search.jd.com/Search?keyword=12V%20%E6%9C%89%E6%BA%90%E8%AD%A6%E5%8F%B7%20%E4%B8%A4%E7%BA%BF%20%E5%B0%8F%E5%9E%8B&amp;enc=utf-8","京东检索")</x:f>
        <x:v>HYPERLINK is not implemented. linkLocation=https://search.jd.com/Search?keyword=12V%20%E6%9C%89%E6%BA%90%E8%AD%A6%E5%8F%B7%20%E4%B8%A4%E7%BA%BF%20%E5%B0%8F%E5%9E%8B&amp;enc=utf-8, friendlyName=京东检索</x:v>
      </x:c>
      <x:c r="J16" s="12" t="e">
        <x:f>HYPERLINK("https://s.taobao.com/search?q=12V%20%E6%9C%89%E6%BA%90%E8%AD%A6%E5%8F%B7%20%E4%B8%A4%E7%BA%BF%20%E5%B0%8F%E5%9E%8B","淘宝检索")</x:f>
        <x:v>HYPERLINK is not implemented. linkLocation=https://s.taobao.com/search?q=12V%20%E6%9C%89%E6%BA%90%E8%AD%A6%E5%8F%B7%20%E4%B8%A4%E7%BA%BF%20%E5%B0%8F%E5%9E%8B, friendlyName=淘宝检索</x:v>
      </x:c>
      <x:c r="K16" s="6" t="str">
        <x:v>京东有12V警号商品记录</x:v>
      </x:c>
      <x:c r="L16" s="6" t="str">
        <x:v>https://www.jd.com/chanpin/2464620.html</x:v>
      </x:c>
    </x:row>
    <x:row r="17" ht="76" customHeight="1">
      <x:c r="A17" s="7" t="str">
        <x:v>10</x:v>
      </x:c>
      <x:c r="B17" s="7" t="str">
        <x:v>地面</x:v>
      </x:c>
      <x:c r="C17" s="7" t="str">
        <x:v>1.3英寸SH1106 OLED</x:v>
      </x:c>
      <x:c r="D17" s="11" t="n">
        <x:v>1</x:v>
      </x:c>
      <x:c r="E17" s="7" t="str">
        <x:v>块</x:v>
      </x:c>
      <x:c r="F17" s="7" t="str">
        <x:v>128×64，I2C/IIC四针，支持3.3V逻辑。</x:v>
      </x:c>
      <x:c r="G17" s="7" t="str">
        <x:v>选SH1106，勿误选SSD1306/7针SPI。原板左侧无名4针口需通断确认；可接线到GPIO5/6。</x:v>
      </x:c>
      <x:c r="H17" s="7" t="str">
        <x:v>1.3 OLED SH1106 IIC 4针 12864</x:v>
      </x:c>
      <x:c r="I17" s="13" t="e">
        <x:f>HYPERLINK("https://search.jd.com/Search?keyword=1.3%20OLED%20SH1106%20IIC%204%E9%92%88%2012864&amp;enc=utf-8","京东检索")</x:f>
        <x:v>HYPERLINK is not implemented. linkLocation=https://search.jd.com/Search?keyword=1.3%20OLED%20SH1106%20IIC%204%E9%92%88%2012864&amp;enc=utf-8, friendlyName=京东检索</x:v>
      </x:c>
      <x:c r="J17" s="13" t="e">
        <x:f>HYPERLINK("https://s.taobao.com/search?q=1.3%20OLED%20SH1106%20IIC%204%E9%92%88%2012864","淘宝检索")</x:f>
        <x:v>HYPERLINK is not implemented. linkLocation=https://s.taobao.com/search?q=1.3%20OLED%20SH1106%20IIC%204%E9%92%88%2012864, friendlyName=淘宝检索</x:v>
      </x:c>
      <x:c r="K17" s="7" t="str">
        <x:v>京东记录明确区分驱动和针序</x:v>
      </x:c>
      <x:c r="L17" s="7" t="str">
        <x:v>https://www.jd.com/brand/6702ff6809be9acbc80.html</x:v>
      </x:c>
    </x:row>
    <x:row r="18" ht="76" customHeight="1">
      <x:c r="A18" s="6" t="str">
        <x:v>11</x:v>
      </x:c>
      <x:c r="B18" s="6" t="str">
        <x:v>地面</x:v>
      </x:c>
      <x:c r="C18" s="6" t="str">
        <x:v>有源蜂鸣器驱动模块</x:v>
      </x:c>
      <x:c r="D18" s="10" t="n">
        <x:v>1</x:v>
      </x:c>
      <x:c r="E18" s="6" t="str">
        <x:v>块</x:v>
      </x:c>
      <x:c r="F18" s="6" t="str">
        <x:v>支持3.3V控制，优先高电平触发，带三极管驱动。</x:v>
      </x:c>
      <x:c r="G18" s="6" t="str">
        <x:v>外接GPIO8/VCC/GND；若买低电平触发款需改固件。PCB未见明确蜂鸣器专用位置。</x:v>
      </x:c>
      <x:c r="H18" s="6" t="str">
        <x:v>有源蜂鸣器 模块 3.3V 高电平 触发</x:v>
      </x:c>
      <x:c r="I18" s="12" t="e">
        <x:f>HYPERLINK("https://search.jd.com/Search?keyword=%E6%9C%89%E6%BA%90%E8%9C%82%E9%B8%A3%E5%99%A8%20%E6%A8%A1%E5%9D%97%203.3V%20%E9%AB%98%E7%94%B5%E5%B9%B3%20%E8%A7%A6%E5%8F%91&amp;enc=utf-8","京东检索")</x:f>
        <x:v>HYPERLINK is not implemented. linkLocation=https://search.jd.com/Search?keyword=%E6%9C%89%E6%BA%90%E8%9C%82%E9%B8%A3%E5%99%A8%20%E6%A8%A1%E5%9D%97%203.3V%20%E9%AB%98%E7%94%B5%E5%B9%B3%20%E8%A7%A6%E5%8F%91&amp;enc=utf-8, friendlyName=京东检索</x:v>
      </x:c>
      <x:c r="J18" s="12" t="e">
        <x:f>HYPERLINK("https://s.taobao.com/search?q=%E6%9C%89%E6%BA%90%E8%9C%82%E9%B8%A3%E5%99%A8%20%E6%A8%A1%E5%9D%97%203.3V%20%E9%AB%98%E7%94%B5%E5%B9%B3%20%E8%A7%A6%E5%8F%91","淘宝检索")</x:f>
        <x:v>HYPERLINK is not implemented. linkLocation=https://s.taobao.com/search?q=%E6%9C%89%E6%BA%90%E8%9C%82%E9%B8%A3%E5%99%A8%20%E6%A8%A1%E5%9D%97%203.3V%20%E9%AB%98%E7%94%B5%E5%B9%B3%20%E8%A7%A6%E5%8F%91, friendlyName=淘宝检索</x:v>
      </x:c>
      <x:c r="K18" s="6" t="str">
        <x:v>京东有蜂鸣器模块记录；触发极性待选</x:v>
      </x:c>
      <x:c r="L18" s="6" t="str">
        <x:v>https://www.jd.com/chanpin/3111473.html</x:v>
      </x:c>
    </x:row>
    <x:row r="19" ht="76" customHeight="1">
      <x:c r="A19" s="7" t="str">
        <x:v>12</x:v>
      </x:c>
      <x:c r="B19" s="7" t="str">
        <x:v>语音新增</x:v>
      </x:c>
      <x:c r="C19" s="7" t="str">
        <x:v>INMP441 I2S麦克风模块</x:v>
      </x:c>
      <x:c r="D19" s="11" t="n">
        <x:v>1</x:v>
      </x:c>
      <x:c r="E19" s="7" t="str">
        <x:v>块</x:v>
      </x:c>
      <x:c r="F19" s="7" t="str">
        <x:v>仅井下节点1安装。3.3V，带VDD/GND/SCK/WS/SD/LR引脚。</x:v>
      </x:c>
      <x:c r="G19" s="7" t="str">
        <x:v>飞线外接。不要买MAX9814、模拟咪头或串口语音识别模块代替。</x:v>
      </x:c>
      <x:c r="H19" s="7" t="str">
        <x:v>INMP441 I2S 数字麦克风 模块</x:v>
      </x:c>
      <x:c r="I19" s="13" t="e">
        <x:f>HYPERLINK("https://search.jd.com/Search?keyword=INMP441%20I2S%20%E6%95%B0%E5%AD%97%E9%BA%A6%E5%85%8B%E9%A3%8E%20%E6%A8%A1%E5%9D%97&amp;enc=utf-8","京东检索")</x:f>
        <x:v>HYPERLINK is not implemented. linkLocation=https://search.jd.com/Search?keyword=INMP441%20I2S%20%E6%95%B0%E5%AD%97%E9%BA%A6%E5%85%8B%E9%A3%8E%20%E6%A8%A1%E5%9D%97&amp;enc=utf-8, friendlyName=京东检索</x:v>
      </x:c>
      <x:c r="J19" s="13" t="e">
        <x:f>HYPERLINK("https://s.taobao.com/search?q=INMP441%20I2S%20%E6%95%B0%E5%AD%97%E9%BA%A6%E5%85%8B%E9%A3%8E%20%E6%A8%A1%E5%9D%97","淘宝检索")</x:f>
        <x:v>HYPERLINK is not implemented. linkLocation=https://s.taobao.com/search?q=INMP441%20I2S%20%E6%95%B0%E5%AD%97%E9%BA%A6%E5%85%8B%E9%A3%8E%20%E6%A8%A1%E5%9D%97, friendlyName=淘宝检索</x:v>
      </x:c>
      <x:c r="K19" s="7" t="str">
        <x:v>京东商品集合明确含INMP441</x:v>
      </x:c>
      <x:c r="L19" s="7" t="str">
        <x:v>https://www.jd.com/hprm/99874b6301f92dc6870a.html</x:v>
      </x:c>
    </x:row>
    <x:row r="20" ht="76" customHeight="1">
      <x:c r="A20" s="6" t="str">
        <x:v>13</x:v>
      </x:c>
      <x:c r="B20" s="6" t="str">
        <x:v>语音新增</x:v>
      </x:c>
      <x:c r="C20" s="6" t="str">
        <x:v>常开瞬时按键</x:v>
      </x:c>
      <x:c r="D20" s="10" t="n">
        <x:v>1</x:v>
      </x:c>
      <x:c r="E20" s="6" t="str">
        <x:v>只</x:v>
      </x:c>
      <x:c r="F20" s="6" t="str">
        <x:v>按下导通，松开断开；面板式带线或轻触按键小板。</x:v>
      </x:c>
      <x:c r="G20" s="6" t="str">
        <x:v>外接空闲GPIO与GND，软件上拉。不要买自锁按钮作按住说话键。</x:v>
      </x:c>
      <x:c r="H20" s="6" t="str">
        <x:v>常开 瞬时 按钮开关 带线</x:v>
      </x:c>
      <x:c r="I20" s="12" t="e">
        <x:f>HYPERLINK("https://search.jd.com/Search?keyword=%E5%B8%B8%E5%BC%80%20%E7%9E%AC%E6%97%B6%20%E6%8C%89%E9%92%AE%E5%BC%80%E5%85%B3%20%E5%B8%A6%E7%BA%BF&amp;enc=utf-8","京东检索")</x:f>
        <x:v>HYPERLINK is not implemented. linkLocation=https://search.jd.com/Search?keyword=%E5%B8%B8%E5%BC%80%20%E7%9E%AC%E6%97%B6%20%E6%8C%89%E9%92%AE%E5%BC%80%E5%85%B3%20%E5%B8%A6%E7%BA%BF&amp;enc=utf-8, friendlyName=京东检索</x:v>
      </x:c>
      <x:c r="J20" s="12" t="e">
        <x:f>HYPERLINK("https://s.taobao.com/search?q=%E5%B8%B8%E5%BC%80%20%E7%9E%AC%E6%97%B6%20%E6%8C%89%E9%92%AE%E5%BC%80%E5%85%B3%20%E5%B8%A6%E7%BA%BF","淘宝检索")</x:f>
        <x:v>HYPERLINK is not implemented. linkLocation=https://s.taobao.com/search?q=%E5%B8%B8%E5%BC%80%20%E7%9E%AC%E6%97%B6%20%E6%8C%89%E9%92%AE%E5%BC%80%E5%85%B3%20%E5%B8%A6%E7%BA%BF, friendlyName=淘宝检索</x:v>
      </x:c>
      <x:c r="K20" s="6" t="str">
        <x:v>检索入口，未核验具体商品</x:v>
      </x:c>
      <x:c r="L20" s="6" t="str">
        <x:v>通用辅材建议，未逐项核验商品页</x:v>
      </x:c>
    </x:row>
    <x:row r="21" ht="76" customHeight="1">
      <x:c r="A21" s="7" t="str">
        <x:v>14</x:v>
      </x:c>
      <x:c r="B21" s="7" t="str">
        <x:v>供电</x:v>
      </x:c>
      <x:c r="C21" s="7" t="str">
        <x:v>12V 3A稳压电源适配器</x:v>
      </x:c>
      <x:c r="D21" s="11" t="n">
        <x:v>3</x:v>
      </x:c>
      <x:c r="E21" s="7" t="str">
        <x:v>只</x:v>
      </x:c>
      <x:c r="F21" s="7" t="str">
        <x:v>三节点各1只；低压DC输出，建议5.5×2.1 mm中心正极，配套相同插座。</x:v>
      </x:c>
      <x:c r="G21" s="7" t="str">
        <x:v>本表选型余量，非原版标定功耗。最终核对警号、传感器和GSM峰值。</x:v>
      </x:c>
      <x:c r="H21" s="7" t="str">
        <x:v>12V 3A 稳压 电源适配器 5.5 2.1</x:v>
      </x:c>
      <x:c r="I21" s="13" t="e">
        <x:f>HYPERLINK("https://search.jd.com/Search?keyword=12V%203A%20%E7%A8%B3%E5%8E%8B%20%E7%94%B5%E6%BA%90%E9%80%82%E9%85%8D%E5%99%A8%205.5%202.1&amp;enc=utf-8","京东检索")</x:f>
        <x:v>HYPERLINK is not implemented. linkLocation=https://search.jd.com/Search?keyword=12V%203A%20%E7%A8%B3%E5%8E%8B%20%E7%94%B5%E6%BA%90%E9%80%82%E9%85%8D%E5%99%A8%205.5%202.1&amp;enc=utf-8, friendlyName=京东检索</x:v>
      </x:c>
      <x:c r="J21" s="13" t="e">
        <x:f>HYPERLINK("https://s.taobao.com/search?q=12V%203A%20%E7%A8%B3%E5%8E%8B%20%E7%94%B5%E6%BA%90%E9%80%82%E9%85%8D%E5%99%A8%205.5%202.1","淘宝检索")</x:f>
        <x:v>HYPERLINK is not implemented. linkLocation=https://s.taobao.com/search?q=12V%203A%20%E7%A8%B3%E5%8E%8B%20%E7%94%B5%E6%BA%90%E9%80%82%E9%85%8D%E5%99%A8%205.5%202.1, friendlyName=淘宝检索</x:v>
      </x:c>
      <x:c r="K21" s="7" t="str">
        <x:v>京东有12V3A适配器记录</x:v>
      </x:c>
      <x:c r="L21" s="7" t="str">
        <x:v>https://www.jd.com/chanpin/2672192.html</x:v>
      </x:c>
    </x:row>
    <x:row r="22" ht="76" customHeight="1">
      <x:c r="A22" s="6" t="str">
        <x:v>15</x:v>
      </x:c>
      <x:c r="B22" s="6" t="str">
        <x:v>供电</x:v>
      </x:c>
      <x:c r="C22" s="6" t="str">
        <x:v>LM2596S可调降压模块</x:v>
      </x:c>
      <x:c r="D22" s="10" t="n">
        <x:v>3</x:v>
      </x:c>
      <x:c r="E22" s="6" t="str">
        <x:v>块</x:v>
      </x:c>
      <x:c r="F22" s="6" t="str">
        <x:v>四电气焊孔中心形成约40.005×17.780 mm矩形；输出先调5.0V用于主板。</x:v>
      </x:c>
      <x:c r="G22" s="6" t="str">
        <x:v>丝印虽写LM2596，实物示例可能是别种降压板。只认孔位和极性；XL4015不能默认直插。</x:v>
      </x:c>
      <x:c r="H22" s="6" t="str">
        <x:v>LM2596S 可调降压 模块 四焊孔</x:v>
      </x:c>
      <x:c r="I22" s="12" t="e">
        <x:f>HYPERLINK("https://search.jd.com/Search?keyword=LM2596S%20%E5%8F%AF%E8%B0%83%E9%99%8D%E5%8E%8B%20%E6%A8%A1%E5%9D%97%20%E5%9B%9B%E7%84%8A%E5%AD%94&amp;enc=utf-8","京东检索")</x:f>
        <x:v>HYPERLINK is not implemented. linkLocation=https://search.jd.com/Search?keyword=LM2596S%20%E5%8F%AF%E8%B0%83%E9%99%8D%E5%8E%8B%20%E6%A8%A1%E5%9D%97%20%E5%9B%9B%E7%84%8A%E5%AD%94&amp;enc=utf-8, friendlyName=京东检索</x:v>
      </x:c>
      <x:c r="J22" s="12" t="e">
        <x:f>HYPERLINK("https://s.taobao.com/search?q=LM2596S%20%E5%8F%AF%E8%B0%83%E9%99%8D%E5%8E%8B%20%E6%A8%A1%E5%9D%97%20%E5%9B%9B%E7%84%8A%E5%AD%94","淘宝检索")</x:f>
        <x:v>HYPERLINK is not implemented. linkLocation=https://s.taobao.com/search?q=LM2596S%20%E5%8F%AF%E8%B0%83%E9%99%8D%E5%8E%8B%20%E6%A8%A1%E5%9D%97%20%E5%9B%9B%E7%84%8A%E5%AD%94, friendlyName=淘宝检索</x:v>
      </x:c>
      <x:c r="K22" s="6" t="str">
        <x:v>京东有商品；孔位待确认</x:v>
      </x:c>
      <x:c r="L22" s="6" t="str">
        <x:v>https://www.jd.com/jiage/9855bb3adf062efa6df1.html</x:v>
      </x:c>
    </x:row>
    <x:row r="23" ht="76" customHeight="1">
      <x:c r="A23" s="7" t="str">
        <x:v>16</x:v>
      </x:c>
      <x:c r="B23" s="7" t="str">
        <x:v>短信条件项</x:v>
      </x:c>
      <x:c r="C23" s="7" t="str">
        <x:v>SIM800L小板</x:v>
      </x:c>
      <x:c r="D23" s="11" t="n">
        <x:v>1</x:v>
      </x:c>
      <x:c r="E23" s="7" t="str">
        <x:v>块</x:v>
      </x:c>
      <x:c r="F23" s="7" t="str">
        <x:v>地面网关用。原板标识一列GND/TX/RX/RST/VCC，针距2.54 mm；需逐脚对应。</x:v>
      </x:c>
      <x:c r="G23" s="7" t="str">
        <x:v>购买前核实当地SIM卡能注册2G GSM并发短信。大号开发板不视为原位兼容。</x:v>
      </x:c>
      <x:c r="H23" s="7" t="str">
        <x:v>SIM800L 红板 模块 RST VCC GSM</x:v>
      </x:c>
      <x:c r="I23" s="13" t="e">
        <x:f>HYPERLINK("https://search.jd.com/Search?keyword=SIM800L%20%E7%BA%A2%E6%9D%BF%20%E6%A8%A1%E5%9D%97%20RST%20VCC%20GSM&amp;enc=utf-8","京东检索")</x:f>
        <x:v>HYPERLINK is not implemented. linkLocation=https://search.jd.com/Search?keyword=SIM800L%20%E7%BA%A2%E6%9D%BF%20%E6%A8%A1%E5%9D%97%20RST%20VCC%20GSM&amp;enc=utf-8, friendlyName=京东检索</x:v>
      </x:c>
      <x:c r="J23" s="13" t="e">
        <x:f>HYPERLINK("https://s.taobao.com/search?q=SIM800L%20%E7%BA%A2%E6%9D%BF%20%E6%A8%A1%E5%9D%97%20RST%20VCC%20GSM","淘宝检索")</x:f>
        <x:v>HYPERLINK is not implemented. linkLocation=https://s.taobao.com/search?q=SIM800L%20%E7%BA%A2%E6%9D%BF%20%E6%A8%A1%E5%9D%97%20RST%20VCC%20GSM, friendlyName=淘宝检索</x:v>
      </x:c>
      <x:c r="K23" s="7" t="str">
        <x:v>京东商品页；未证实该SKU原位兼容</x:v>
      </x:c>
      <x:c r="L23" s="7" t="str">
        <x:v>https://ic-item.jd.com/100079675820.html</x:v>
      </x:c>
    </x:row>
    <x:row r="24" ht="76" customHeight="1">
      <x:c r="A24" s="6" t="str">
        <x:v>17</x:v>
      </x:c>
      <x:c r="B24" s="6" t="str">
        <x:v>短信条件项</x:v>
      </x:c>
      <x:c r="C24" s="6" t="str">
        <x:v>GSM天线</x:v>
      </x:c>
      <x:c r="D24" s="10" t="n">
        <x:v>1</x:v>
      </x:c>
      <x:c r="E24" s="6" t="str">
        <x:v>套</x:v>
      </x:c>
      <x:c r="F24" s="6" t="str">
        <x:v>匹配所购SIM800L的天线接口；GSM频段天线。</x:v>
      </x:c>
      <x:c r="G24" s="6" t="str">
        <x:v>若模块已带天线无需重复购买，不能用LoRa天线代替。</x:v>
      </x:c>
      <x:c r="H24" s="6" t="str">
        <x:v>SIM800L GSM 天线</x:v>
      </x:c>
      <x:c r="I24" s="12" t="e">
        <x:f>HYPERLINK("https://search.jd.com/Search?keyword=SIM800L%20GSM%20%E5%A4%A9%E7%BA%BF&amp;enc=utf-8","京东检索")</x:f>
        <x:v>HYPERLINK is not implemented. linkLocation=https://search.jd.com/Search?keyword=SIM800L%20GSM%20%E5%A4%A9%E7%BA%BF&amp;enc=utf-8, friendlyName=京东检索</x:v>
      </x:c>
      <x:c r="J24" s="12" t="e">
        <x:f>HYPERLINK("https://s.taobao.com/search?q=SIM800L%20GSM%20%E5%A4%A9%E7%BA%BF","淘宝检索")</x:f>
        <x:v>HYPERLINK is not implemented. linkLocation=https://s.taobao.com/search?q=SIM800L%20GSM%20%E5%A4%A9%E7%BA%BF, friendlyName=淘宝检索</x:v>
      </x:c>
      <x:c r="K24" s="6" t="str">
        <x:v>京东商品含配天线版本</x:v>
      </x:c>
      <x:c r="L24" s="6" t="str">
        <x:v>https://ic-item.jd.com/100079675820.html</x:v>
      </x:c>
    </x:row>
    <x:row r="25" ht="76" customHeight="1">
      <x:c r="A25" s="7" t="str">
        <x:v>18</x:v>
      </x:c>
      <x:c r="B25" s="7" t="str">
        <x:v>短信条件项</x:v>
      </x:c>
      <x:c r="C25" s="7" t="str">
        <x:v>可发短信的SIM卡</x:v>
      </x:c>
      <x:c r="D25" s="11" t="n">
        <x:v>1</x:v>
      </x:c>
      <x:c r="E25" s="7" t="str">
        <x:v>张</x:v>
      </x:c>
      <x:c r="F25" s="7" t="str">
        <x:v>卡尺寸匹配SIM800L卡座，并已开通短信、可接入当地2G GSM网络。</x:v>
      </x:c>
      <x:c r="G25" s="7" t="str">
        <x:v>覆盖和开通状态未核验。仅流量物联网卡不等于可发短信。</x:v>
      </x:c>
      <x:c r="H25" s="7" t="str">
        <x:v>GSM 短信 SIM卡</x:v>
      </x:c>
      <x:c r="I25" s="13" t="e">
        <x:f>HYPERLINK("https://search.jd.com/Search?keyword=GSM%20%E7%9F%AD%E4%BF%A1%20SIM%E5%8D%A1&amp;enc=utf-8","京东检索")</x:f>
        <x:v>HYPERLINK is not implemented. linkLocation=https://search.jd.com/Search?keyword=GSM%20%E7%9F%AD%E4%BF%A1%20SIM%E5%8D%A1&amp;enc=utf-8, friendlyName=京东检索</x:v>
      </x:c>
      <x:c r="J25" s="13" t="e">
        <x:f>HYPERLINK("https://s.taobao.com/search?q=GSM%20%E7%9F%AD%E4%BF%A1%20SIM%E5%8D%A1","淘宝检索")</x:f>
        <x:v>HYPERLINK is not implemented. linkLocation=https://s.taobao.com/search?q=GSM%20%E7%9F%AD%E4%BF%A1%20SIM%E5%8D%A1, friendlyName=淘宝检索</x:v>
      </x:c>
      <x:c r="K25" s="7" t="str">
        <x:v>检索入口，未核验具体商品</x:v>
      </x:c>
      <x:c r="L25" s="7" t="str">
        <x:v>通用辅材建议，未逐项核验商品页</x:v>
      </x:c>
    </x:row>
    <x:row r="26" ht="76" customHeight="1">
      <x:c r="A26" s="6" t="str">
        <x:v>19</x:v>
      </x:c>
      <x:c r="B26" s="6" t="str">
        <x:v>短信条件项</x:v>
      </x:c>
      <x:c r="C26" s="6" t="str">
        <x:v>SIM800L独立降压电源</x:v>
      </x:c>
      <x:c r="D26" s="10" t="n">
        <x:v>1</x:v>
      </x:c>
      <x:c r="E26" s="6" t="str">
        <x:v>块</x:v>
      </x:c>
      <x:c r="F26" s="6" t="str">
        <x:v>以裸芯片供电版为前提：可调约4.0V，供电系统可承受2A发射峰值，建议留3A级余量。</x:v>
      </x:c>
      <x:c r="G26" s="6" t="str">
        <x:v>外接供电。核实小板是否自带稳压，禁止把4V和5V电源并联到同一VCC网络。</x:v>
      </x:c>
      <x:c r="H26" s="6" t="str">
        <x:v>XL4015 可调降压 5A 模块</x:v>
      </x:c>
      <x:c r="I26" s="12" t="e">
        <x:f>HYPERLINK("https://search.jd.com/Search?keyword=XL4015%20%E5%8F%AF%E8%B0%83%E9%99%8D%E5%8E%8B%205A%20%E6%A8%A1%E5%9D%97&amp;enc=utf-8","京东检索")</x:f>
        <x:v>HYPERLINK is not implemented. linkLocation=https://search.jd.com/Search?keyword=XL4015%20%E5%8F%AF%E8%B0%83%E9%99%8D%E5%8E%8B%205A%20%E6%A8%A1%E5%9D%97&amp;enc=utf-8, friendlyName=京东检索</x:v>
      </x:c>
      <x:c r="J26" s="12" t="e">
        <x:f>HYPERLINK("https://s.taobao.com/search?q=XL4015%20%E5%8F%AF%E8%B0%83%E9%99%8D%E5%8E%8B%205A%20%E6%A8%A1%E5%9D%97","淘宝检索")</x:f>
        <x:v>HYPERLINK is not implemented. linkLocation=https://s.taobao.com/search?q=XL4015%20%E5%8F%AF%E8%B0%83%E9%99%8D%E5%8E%8B%205A%20%E6%A8%A1%E5%9D%97, friendlyName=淘宝检索</x:v>
      </x:c>
      <x:c r="K26" s="6" t="str">
        <x:v>京东有XL4015记录；作为外接电源</x:v>
      </x:c>
      <x:c r="L26" s="6" t="str">
        <x:v>https://www.jd.com/jiage/9855bb3adf062efa6df1.html</x:v>
      </x:c>
    </x:row>
    <x:row r="27" ht="76" customHeight="1">
      <x:c r="A27" s="7" t="str">
        <x:v>20</x:v>
      </x:c>
      <x:c r="B27" s="7" t="str">
        <x:v>短信条件项</x:v>
      </x:c>
      <x:c r="C27" s="7" t="str">
        <x:v>UART电平匹配小板</x:v>
      </x:c>
      <x:c r="D27" s="11" t="n">
        <x:v>1</x:v>
      </x:c>
      <x:c r="E27" s="7" t="str">
        <x:v>块</x:v>
      </x:c>
      <x:c r="F27" s="7" t="str">
        <x:v>选适用于UART推挽信号、3.3V与SIM800L约2.8V逻辑匹配的方案。</x:v>
      </x:c>
      <x:c r="G27" s="7" t="str">
        <x:v>先核实SIM800L小板已否集成。不要将I2C专用转换模块默认视为验证通过。</x:v>
      </x:c>
      <x:c r="H27" s="7" t="str">
        <x:v>UART 串口 3.3V 2.8V 电平转换</x:v>
      </x:c>
      <x:c r="I27" s="13" t="e">
        <x:f>HYPERLINK("https://search.jd.com/Search?keyword=UART%20%E4%B8%B2%E5%8F%A3%203.3V%202.8V%20%E7%94%B5%E5%B9%B3%E8%BD%AC%E6%8D%A2&amp;enc=utf-8","京东检索")</x:f>
        <x:v>HYPERLINK is not implemented. linkLocation=https://search.jd.com/Search?keyword=UART%20%E4%B8%B2%E5%8F%A3%203.3V%202.8V%20%E7%94%B5%E5%B9%B3%E8%BD%AC%E6%8D%A2&amp;enc=utf-8, friendlyName=京东检索</x:v>
      </x:c>
      <x:c r="J27" s="13" t="e">
        <x:f>HYPERLINK("https://s.taobao.com/search?q=UART%20%E4%B8%B2%E5%8F%A3%203.3V%202.8V%20%E7%94%B5%E5%B9%B3%E8%BD%AC%E6%8D%A2","淘宝检索")</x:f>
        <x:v>HYPERLINK is not implemented. linkLocation=https://s.taobao.com/search?q=UART%20%E4%B8%B2%E5%8F%A3%203.3V%202.8V%20%E7%94%B5%E5%B9%B3%E8%BD%AC%E6%8D%A2, friendlyName=淘宝检索</x:v>
      </x:c>
      <x:c r="K27" s="7" t="str">
        <x:v>检索入口，未核验具体商品</x:v>
      </x:c>
      <x:c r="L27" s="7" t="str">
        <x:v>通用辅材建议，未逐项核验商品页</x:v>
      </x:c>
    </x:row>
    <x:row r="28" ht="76" customHeight="1">
      <x:c r="A28" s="6" t="str">
        <x:v>21</x:v>
      </x:c>
      <x:c r="B28" s="6" t="str">
        <x:v>接口保护</x:v>
      </x:c>
      <x:c r="C28" s="6" t="str">
        <x:v>10kΩ 1%电阻</x:v>
      </x:c>
      <x:c r="D28" s="10" t="n">
        <x:v>10</x:v>
      </x:c>
      <x:c r="E28" s="6" t="str">
        <x:v>只</x:v>
      </x:c>
      <x:c r="F28" s="6" t="str">
        <x:v>4路MQ AO各1只上臂电阻，余6只备用；1/4W直插便于小板焊接。</x:v>
      </x:c>
      <x:c r="G28" s="6" t="str">
        <x:v>用于外加分压，不是原PCB的R1/R2指定值。</x:v>
      </x:c>
      <x:c r="H28" s="6" t="str">
        <x:v>10K 电阻 1% 1/4W</x:v>
      </x:c>
      <x:c r="I28" s="12" t="e">
        <x:f>HYPERLINK("https://search.jd.com/Search?keyword=10K%20%E7%94%B5%E9%98%BB%201%25%201%2F4W&amp;enc=utf-8","京东检索")</x:f>
        <x:v>HYPERLINK is not implemented. linkLocation=https://search.jd.com/Search?keyword=10K%20%E7%94%B5%E9%98%BB%201%25%201%2F4W&amp;enc=utf-8, friendlyName=京东检索</x:v>
      </x:c>
      <x:c r="J28" s="12" t="e">
        <x:f>HYPERLINK("https://s.taobao.com/search?q=10K%20%E7%94%B5%E9%98%BB%201%25%201%2F4W","淘宝检索")</x:f>
        <x:v>HYPERLINK is not implemented. linkLocation=https://s.taobao.com/search?q=10K%20%E7%94%B5%E9%98%BB%201%25%201%2F4W, friendlyName=淘宝检索</x:v>
      </x:c>
      <x:c r="K28" s="6" t="str">
        <x:v>检索入口，未核验具体商品</x:v>
      </x:c>
      <x:c r="L28" s="6" t="str">
        <x:v>通用辅材建议，未逐项核验商品页</x:v>
      </x:c>
    </x:row>
    <x:row r="29" ht="76" customHeight="1">
      <x:c r="A29" s="7" t="str">
        <x:v>22</x:v>
      </x:c>
      <x:c r="B29" s="7" t="str">
        <x:v>接口保护</x:v>
      </x:c>
      <x:c r="C29" s="7" t="str">
        <x:v>15kΩ 1%电阻</x:v>
      </x:c>
      <x:c r="D29" s="11" t="n">
        <x:v>10</x:v>
      </x:c>
      <x:c r="E29" s="7" t="str">
        <x:v>只</x:v>
      </x:c>
      <x:c r="F29" s="7" t="str">
        <x:v>4路MQ AO各1只下臂电阻，余6只备用；5V经10k/15k分压约3.0V。</x:v>
      </x:c>
      <x:c r="G29" s="7" t="str">
        <x:v>分压接法AO—10k—ADC，ADC—15k—GND。先确认原板有无分压，再接入。</x:v>
      </x:c>
      <x:c r="H29" s="7" t="str">
        <x:v>15K 电阻 1% 1/4W</x:v>
      </x:c>
      <x:c r="I29" s="13" t="e">
        <x:f>HYPERLINK("https://search.jd.com/Search?keyword=15K%20%E7%94%B5%E9%98%BB%201%25%201%2F4W&amp;enc=utf-8","京东检索")</x:f>
        <x:v>HYPERLINK is not implemented. linkLocation=https://search.jd.com/Search?keyword=15K%20%E7%94%B5%E9%98%BB%201%25%201%2F4W&amp;enc=utf-8, friendlyName=京东检索</x:v>
      </x:c>
      <x:c r="J29" s="13" t="e">
        <x:f>HYPERLINK("https://s.taobao.com/search?q=15K%20%E7%94%B5%E9%98%BB%201%25%201%2F4W","淘宝检索")</x:f>
        <x:v>HYPERLINK is not implemented. linkLocation=https://s.taobao.com/search?q=15K%20%E7%94%B5%E9%98%BB%201%25%201%2F4W, friendlyName=淘宝检索</x:v>
      </x:c>
      <x:c r="K29" s="7" t="str">
        <x:v>检索入口，未核验具体商品</x:v>
      </x:c>
      <x:c r="L29" s="7" t="str">
        <x:v>通用辅材建议，未逐项核验商品页</x:v>
      </x:c>
    </x:row>
    <x:row r="30" ht="76" customHeight="1">
      <x:c r="A30" s="6" t="str">
        <x:v>23</x:v>
      </x:c>
      <x:c r="B30" s="6" t="str">
        <x:v>接口保护</x:v>
      </x:c>
      <x:c r="C30" s="6" t="str">
        <x:v>100nF去耦/滤波电容</x:v>
      </x:c>
      <x:c r="D30" s="10" t="n">
        <x:v>10</x:v>
      </x:c>
      <x:c r="E30" s="6" t="str">
        <x:v>只</x:v>
      </x:c>
      <x:c r="F30" s="6" t="str">
        <x:v>4只可用于ADC端对地滤波，1只麦克风近端去耦，其余备用。</x:v>
      </x:c>
      <x:c r="G30" s="6" t="str">
        <x:v>外接小板按需要装配；增加分压后需重新设传感阈值。</x:v>
      </x:c>
      <x:c r="H30" s="6" t="str">
        <x:v>100nF 104 独石 电容</x:v>
      </x:c>
      <x:c r="I30" s="12" t="e">
        <x:f>HYPERLINK("https://search.jd.com/Search?keyword=100nF%20104%20%E7%8B%AC%E7%9F%B3%20%E7%94%B5%E5%AE%B9&amp;enc=utf-8","京东检索")</x:f>
        <x:v>HYPERLINK is not implemented. linkLocation=https://search.jd.com/Search?keyword=100nF%20104%20%E7%8B%AC%E7%9F%B3%20%E7%94%B5%E5%AE%B9&amp;enc=utf-8, friendlyName=京东检索</x:v>
      </x:c>
      <x:c r="J30" s="12" t="e">
        <x:f>HYPERLINK("https://s.taobao.com/search?q=100nF%20104%20%E7%8B%AC%E7%9F%B3%20%E7%94%B5%E5%AE%B9","淘宝检索")</x:f>
        <x:v>HYPERLINK is not implemented. linkLocation=https://s.taobao.com/search?q=100nF%20104%20%E7%8B%AC%E7%9F%B3%20%E7%94%B5%E5%AE%B9, friendlyName=淘宝检索</x:v>
      </x:c>
      <x:c r="K30" s="6" t="str">
        <x:v>检索入口，未核验具体商品</x:v>
      </x:c>
      <x:c r="L30" s="6" t="str">
        <x:v>通用辅材建议，未逐项核验商品页</x:v>
      </x:c>
    </x:row>
    <x:row r="31" ht="76" customHeight="1">
      <x:c r="A31" s="7" t="str">
        <x:v>24</x:v>
      </x:c>
      <x:c r="B31" s="7" t="str">
        <x:v>接口保护</x:v>
      </x:c>
      <x:c r="C31" s="7" t="str">
        <x:v>10µF去耦电容</x:v>
      </x:c>
      <x:c r="D31" s="11" t="n">
        <x:v>5</x:v>
      </x:c>
      <x:c r="E31" s="7" t="str">
        <x:v>只</x:v>
      </x:c>
      <x:c r="F31" s="7" t="str">
        <x:v>耐压≥10V；麦克风/低压辅助电路局部去耦，含备用。</x:v>
      </x:c>
      <x:c r="G31" s="7" t="str">
        <x:v>此项为外接辅助器件，不是原PCB C2已确认容量。</x:v>
      </x:c>
      <x:c r="H31" s="7" t="str">
        <x:v>10uF 16V 电容</x:v>
      </x:c>
      <x:c r="I31" s="13" t="e">
        <x:f>HYPERLINK("https://search.jd.com/Search?keyword=10uF%2016V%20%E7%94%B5%E5%AE%B9&amp;enc=utf-8","京东检索")</x:f>
        <x:v>HYPERLINK is not implemented. linkLocation=https://search.jd.com/Search?keyword=10uF%2016V%20%E7%94%B5%E5%AE%B9&amp;enc=utf-8, friendlyName=京东检索</x:v>
      </x:c>
      <x:c r="J31" s="13" t="e">
        <x:f>HYPERLINK("https://s.taobao.com/search?q=10uF%2016V%20%E7%94%B5%E5%AE%B9","淘宝检索")</x:f>
        <x:v>HYPERLINK is not implemented. linkLocation=https://s.taobao.com/search?q=10uF%2016V%20%E7%94%B5%E5%AE%B9, friendlyName=淘宝检索</x:v>
      </x:c>
      <x:c r="K31" s="7" t="str">
        <x:v>检索入口，未核验具体商品</x:v>
      </x:c>
      <x:c r="L31" s="7" t="str">
        <x:v>通用辅材建议，未逐项核验商品页</x:v>
      </x:c>
    </x:row>
    <x:row r="32" ht="76" customHeight="1">
      <x:c r="A32" s="6" t="str">
        <x:v>25</x:v>
      </x:c>
      <x:c r="B32" s="6" t="str">
        <x:v>短信条件项</x:v>
      </x:c>
      <x:c r="C32" s="6" t="str">
        <x:v>低ESR储能电容</x:v>
      </x:c>
      <x:c r="D32" s="10" t="n">
        <x:v>2</x:v>
      </x:c>
      <x:c r="E32" s="6" t="str">
        <x:v>只</x:v>
      </x:c>
      <x:c r="F32" s="6" t="str">
        <x:v>暂选470—1000µF、≥10V，GSM电源近端1只加备用1只。</x:v>
      </x:c>
      <x:c r="G32" s="6" t="str">
        <x:v>为辅助供电建议，不代替电源峰值能力，也不是已确认的原板C2值。</x:v>
      </x:c>
      <x:c r="H32" s="6" t="str">
        <x:v>1000uF 10V 低ESR 电容</x:v>
      </x:c>
      <x:c r="I32" s="12" t="e">
        <x:f>HYPERLINK("https://search.jd.com/Search?keyword=1000uF%2010V%20%E4%BD%8EESR%20%E7%94%B5%E5%AE%B9&amp;enc=utf-8","京东检索")</x:f>
        <x:v>HYPERLINK is not implemented. linkLocation=https://search.jd.com/Search?keyword=1000uF%2010V%20%E4%BD%8EESR%20%E7%94%B5%E5%AE%B9&amp;enc=utf-8, friendlyName=京东检索</x:v>
      </x:c>
      <x:c r="J32" s="12" t="e">
        <x:f>HYPERLINK("https://s.taobao.com/search?q=1000uF%2010V%20%E4%BD%8EESR%20%E7%94%B5%E5%AE%B9","淘宝检索")</x:f>
        <x:v>HYPERLINK is not implemented. linkLocation=https://s.taobao.com/search?q=1000uF%2010V%20%E4%BD%8EESR%20%E7%94%B5%E5%AE%B9, friendlyName=淘宝检索</x:v>
      </x:c>
      <x:c r="K32" s="6" t="str">
        <x:v>检索入口，未核验具体商品</x:v>
      </x:c>
      <x:c r="L32" s="6" t="str">
        <x:v>通用辅材建议，未逐项核验商品页</x:v>
      </x:c>
    </x:row>
    <x:row r="33" ht="76" customHeight="1">
      <x:c r="A33" s="7" t="str">
        <x:v>26</x:v>
      </x:c>
      <x:c r="B33" s="7" t="str">
        <x:v>接插件</x:v>
      </x:c>
      <x:c r="C33" s="7" t="str">
        <x:v>2.54 mm 1×22排母</x:v>
      </x:c>
      <x:c r="D33" s="11" t="n">
        <x:v>6</x:v>
      </x:c>
      <x:c r="E33" s="7" t="str">
        <x:v>条</x:v>
      </x:c>
      <x:c r="F33" s="7" t="str">
        <x:v>每块主板2条，共6条。</x:v>
      </x:c>
      <x:c r="G33" s="7" t="str">
        <x:v>配ESP32-S3。井下语音板可选带引出焊点/长脚方案便于飞线，避免双层插座松动。</x:v>
      </x:c>
      <x:c r="H33" s="7" t="str">
        <x:v>2.54 单排 排母 22P</x:v>
      </x:c>
      <x:c r="I33" s="13" t="e">
        <x:f>HYPERLINK("https://search.jd.com/Search?keyword=2.54%20%E5%8D%95%E6%8E%92%20%E6%8E%92%E6%AF%8D%2022P&amp;enc=utf-8","京东检索")</x:f>
        <x:v>HYPERLINK is not implemented. linkLocation=https://search.jd.com/Search?keyword=2.54%20%E5%8D%95%E6%8E%92%20%E6%8E%92%E6%AF%8D%2022P&amp;enc=utf-8, friendlyName=京东检索</x:v>
      </x:c>
      <x:c r="J33" s="13" t="e">
        <x:f>HYPERLINK("https://s.taobao.com/search?q=2.54%20%E5%8D%95%E6%8E%92%20%E6%8E%92%E6%AF%8D%2022P","淘宝检索")</x:f>
        <x:v>HYPERLINK is not implemented. linkLocation=https://s.taobao.com/search?q=2.54%20%E5%8D%95%E6%8E%92%20%E6%8E%92%E6%AF%8D%2022P, friendlyName=淘宝检索</x:v>
      </x:c>
      <x:c r="K33" s="7" t="str">
        <x:v>检索入口，未核验具体商品</x:v>
      </x:c>
      <x:c r="L33" s="7" t="str">
        <x:v>通用辅材建议，未逐项核验商品页</x:v>
      </x:c>
    </x:row>
    <x:row r="34" ht="76" customHeight="1">
      <x:c r="A34" s="6" t="str">
        <x:v>27</x:v>
      </x:c>
      <x:c r="B34" s="6" t="str">
        <x:v>接插件</x:v>
      </x:c>
      <x:c r="C34" s="6" t="str">
        <x:v>2.54 mm 1×8排母</x:v>
      </x:c>
      <x:c r="D34" s="10" t="n">
        <x:v>6</x:v>
      </x:c>
      <x:c r="E34" s="6" t="str">
        <x:v>条</x:v>
      </x:c>
      <x:c r="F34" s="6" t="str">
        <x:v>每块主板2条，共6条。</x:v>
      </x:c>
      <x:c r="G34" s="6" t="str">
        <x:v>配Ra-02转接板，注意方向。</x:v>
      </x:c>
      <x:c r="H34" s="6" t="str">
        <x:v>2.54 单排 排母 8P</x:v>
      </x:c>
      <x:c r="I34" s="12" t="e">
        <x:f>HYPERLINK("https://search.jd.com/Search?keyword=2.54%20%E5%8D%95%E6%8E%92%20%E6%8E%92%E6%AF%8D%208P&amp;enc=utf-8","京东检索")</x:f>
        <x:v>HYPERLINK is not implemented. linkLocation=https://search.jd.com/Search?keyword=2.54%20%E5%8D%95%E6%8E%92%20%E6%8E%92%E6%AF%8D%208P&amp;enc=utf-8, friendlyName=京东检索</x:v>
      </x:c>
      <x:c r="J34" s="12" t="e">
        <x:f>HYPERLINK("https://s.taobao.com/search?q=2.54%20%E5%8D%95%E6%8E%92%20%E6%8E%92%E6%AF%8D%208P","淘宝检索")</x:f>
        <x:v>HYPERLINK is not implemented. linkLocation=https://s.taobao.com/search?q=2.54%20%E5%8D%95%E6%8E%92%20%E6%8E%92%E6%AF%8D%208P, friendlyName=淘宝检索</x:v>
      </x:c>
      <x:c r="K34" s="6" t="str">
        <x:v>检索入口，未核验具体商品</x:v>
      </x:c>
      <x:c r="L34" s="6" t="str">
        <x:v>通用辅材建议，未逐项核验商品页</x:v>
      </x:c>
    </x:row>
    <x:row r="35" ht="76" customHeight="1">
      <x:c r="A35" s="7" t="str">
        <x:v>28</x:v>
      </x:c>
      <x:c r="B35" s="7" t="str">
        <x:v>接插件</x:v>
      </x:c>
      <x:c r="C35" s="7" t="str">
        <x:v>2.54 mm 1×40排针/排母</x:v>
      </x:c>
      <x:c r="D35" s="11" t="n">
        <x:v>4</x:v>
      </x:c>
      <x:c r="E35" s="7" t="str">
        <x:v>组</x:v>
      </x:c>
      <x:c r="F35" s="7" t="str">
        <x:v>建议2组排针+2组排母，用于可裁剪接口及备用。</x:v>
      </x:c>
      <x:c r="G35" s="7" t="str">
        <x:v>已焊针模块不要重复计算模块针。</x:v>
      </x:c>
      <x:c r="H35" s="7" t="str">
        <x:v>2.54 排针 排母 40P</x:v>
      </x:c>
      <x:c r="I35" s="13" t="e">
        <x:f>HYPERLINK("https://search.jd.com/Search?keyword=2.54%20%E6%8E%92%E9%92%88%20%E6%8E%92%E6%AF%8D%2040P&amp;enc=utf-8","京东检索")</x:f>
        <x:v>HYPERLINK is not implemented. linkLocation=https://search.jd.com/Search?keyword=2.54%20%E6%8E%92%E9%92%88%20%E6%8E%92%E6%AF%8D%2040P&amp;enc=utf-8, friendlyName=京东检索</x:v>
      </x:c>
      <x:c r="J35" s="13" t="e">
        <x:f>HYPERLINK("https://s.taobao.com/search?q=2.54%20%E6%8E%92%E9%92%88%20%E6%8E%92%E6%AF%8D%2040P","淘宝检索")</x:f>
        <x:v>HYPERLINK is not implemented. linkLocation=https://s.taobao.com/search?q=2.54%20%E6%8E%92%E9%92%88%20%E6%8E%92%E6%AF%8D%2040P, friendlyName=淘宝检索</x:v>
      </x:c>
      <x:c r="K35" s="7" t="str">
        <x:v>检索入口，未核验具体商品</x:v>
      </x:c>
      <x:c r="L35" s="7" t="str">
        <x:v>通用辅材建议，未逐项核验商品页</x:v>
      </x:c>
    </x:row>
    <x:row r="36" ht="76" customHeight="1">
      <x:c r="A36" s="6" t="str">
        <x:v>29</x:v>
      </x:c>
      <x:c r="B36" s="6" t="str">
        <x:v>接插件</x:v>
      </x:c>
      <x:c r="C36" s="6" t="str">
        <x:v>4P板端座和4芯线</x:v>
      </x:c>
      <x:c r="D36" s="10" t="n">
        <x:v>5</x:v>
      </x:c>
      <x:c r="E36" s="6" t="str">
        <x:v>套</x:v>
      </x:c>
      <x:c r="F36" s="6" t="str">
        <x:v>MQ4/MQ7共4套，地面显示1套；本地相应孔距约2.54 mm。</x:v>
      </x:c>
      <x:c r="G36" s="6" t="str">
        <x:v>优先按2.54 mm规格询价。XH2.54、XH2.5商品命名混乱，须看机械图。针序可重排。</x:v>
      </x:c>
      <x:c r="H36" s="6" t="str">
        <x:v>2.54 4P 连接器 座 带线</x:v>
      </x:c>
      <x:c r="I36" s="12" t="e">
        <x:f>HYPERLINK("https://search.jd.com/Search?keyword=2.54%204P%20%E8%BF%9E%E6%8E%A5%E5%99%A8%20%E5%BA%A7%20%E5%B8%A6%E7%BA%BF&amp;enc=utf-8","京东检索")</x:f>
        <x:v>HYPERLINK is not implemented. linkLocation=https://search.jd.com/Search?keyword=2.54%204P%20%E8%BF%9E%E6%8E%A5%E5%99%A8%20%E5%BA%A7%20%E5%B8%A6%E7%BA%BF&amp;enc=utf-8, friendlyName=京东检索</x:v>
      </x:c>
      <x:c r="J36" s="12" t="e">
        <x:f>HYPERLINK("https://s.taobao.com/search?q=2.54%204P%20%E8%BF%9E%E6%8E%A5%E5%99%A8%20%E5%BA%A7%20%E5%B8%A6%E7%BA%BF","淘宝检索")</x:f>
        <x:v>HYPERLINK is not implemented. linkLocation=https://s.taobao.com/search?q=2.54%204P%20%E8%BF%9E%E6%8E%A5%E5%99%A8%20%E5%BA%A7%20%E5%B8%A6%E7%BA%BF, friendlyName=淘宝检索</x:v>
      </x:c>
      <x:c r="K36" s="6" t="str">
        <x:v>检索入口，未核验具体商品</x:v>
      </x:c>
      <x:c r="L36" s="6" t="str">
        <x:v>通用辅材建议，未逐项核验商品页</x:v>
      </x:c>
    </x:row>
    <x:row r="37" ht="76" customHeight="1">
      <x:c r="A37" s="7" t="str">
        <x:v>30</x:v>
      </x:c>
      <x:c r="B37" s="7" t="str">
        <x:v>接插件</x:v>
      </x:c>
      <x:c r="C37" s="7" t="str">
        <x:v>3P板端座和3芯线</x:v>
      </x:c>
      <x:c r="D37" s="11" t="n">
        <x:v>2</x:v>
      </x:c>
      <x:c r="E37" s="7" t="str">
        <x:v>套</x:v>
      </x:c>
      <x:c r="F37" s="7" t="str">
        <x:v>两个水位接口，针距2.54 mm。</x:v>
      </x:c>
      <x:c r="G37" s="7" t="str">
        <x:v>每套含板端座及带端子的线束，按S/+/-重排。</x:v>
      </x:c>
      <x:c r="H37" s="7" t="str">
        <x:v>2.54 3P 连接器 座 带线</x:v>
      </x:c>
      <x:c r="I37" s="13" t="e">
        <x:f>HYPERLINK("https://search.jd.com/Search?keyword=2.54%203P%20%E8%BF%9E%E6%8E%A5%E5%99%A8%20%E5%BA%A7%20%E5%B8%A6%E7%BA%BF&amp;enc=utf-8","京东检索")</x:f>
        <x:v>HYPERLINK is not implemented. linkLocation=https://search.jd.com/Search?keyword=2.54%203P%20%E8%BF%9E%E6%8E%A5%E5%99%A8%20%E5%BA%A7%20%E5%B8%A6%E7%BA%BF&amp;enc=utf-8, friendlyName=京东检索</x:v>
      </x:c>
      <x:c r="J37" s="13" t="e">
        <x:f>HYPERLINK("https://s.taobao.com/search?q=2.54%203P%20%E8%BF%9E%E6%8E%A5%E5%99%A8%20%E5%BA%A7%20%E5%B8%A6%E7%BA%BF","淘宝检索")</x:f>
        <x:v>HYPERLINK is not implemented. linkLocation=https://s.taobao.com/search?q=2.54%203P%20%E8%BF%9E%E6%8E%A5%E5%99%A8%20%E5%BA%A7%20%E5%B8%A6%E7%BA%BF, friendlyName=淘宝检索</x:v>
      </x:c>
      <x:c r="K37" s="7" t="str">
        <x:v>检索入口，未核验具体商品</x:v>
      </x:c>
      <x:c r="L37" s="7" t="str">
        <x:v>通用辅材建议，未逐项核验商品页</x:v>
      </x:c>
    </x:row>
    <x:row r="38" ht="76" customHeight="1">
      <x:c r="A38" s="6" t="str">
        <x:v>31</x:v>
      </x:c>
      <x:c r="B38" s="6" t="str">
        <x:v>接插件</x:v>
      </x:c>
      <x:c r="C38" s="6" t="str">
        <x:v>DC电源插座P1</x:v>
      </x:c>
      <x:c r="D38" s="10" t="n">
        <x:v>3</x:v>
      </x:c>
      <x:c r="E38" s="6" t="str">
        <x:v>只</x:v>
      </x:c>
      <x:c r="F38" s="6" t="str">
        <x:v>Gerber显示三孔近似共线，中心距约5.00 mm。接口内径按电源插头配套。</x:v>
      </x:c>
      <x:c r="G38" s="6" t="str">
        <x:v>不能凭DC-005/DC-022名称下单。先让卖家提供脚位图，或外接带线DC座。</x:v>
      </x:c>
      <x:c r="H38" s="6" t="str">
        <x:v>DC 电源插座 三脚 5.5 2.1</x:v>
      </x:c>
      <x:c r="I38" s="12" t="e">
        <x:f>HYPERLINK("https://search.jd.com/Search?keyword=DC%20%E7%94%B5%E6%BA%90%E6%8F%92%E5%BA%A7%20%E4%B8%89%E8%84%9A%205.5%202.1&amp;enc=utf-8","京东检索")</x:f>
        <x:v>HYPERLINK is not implemented. linkLocation=https://search.jd.com/Search?keyword=DC%20%E7%94%B5%E6%BA%90%E6%8F%92%E5%BA%A7%20%E4%B8%89%E8%84%9A%205.5%202.1&amp;enc=utf-8, friendlyName=京东检索</x:v>
      </x:c>
      <x:c r="J38" s="12" t="e">
        <x:f>HYPERLINK("https://s.taobao.com/search?q=DC%20%E7%94%B5%E6%BA%90%E6%8F%92%E5%BA%A7%20%E4%B8%89%E8%84%9A%205.5%202.1","淘宝检索")</x:f>
        <x:v>HYPERLINK is not implemented. linkLocation=https://s.taobao.com/search?q=DC%20%E7%94%B5%E6%BA%90%E6%8F%92%E5%BA%A7%20%E4%B8%89%E8%84%9A%205.5%202.1, friendlyName=淘宝检索</x:v>
      </x:c>
      <x:c r="K38" s="6" t="str">
        <x:v>检索入口，未核验具体商品</x:v>
      </x:c>
      <x:c r="L38" s="6" t="str">
        <x:v>通用辅材建议，未逐项核验商品页</x:v>
      </x:c>
    </x:row>
    <x:row r="39" ht="76" customHeight="1">
      <x:c r="A39" s="7" t="str">
        <x:v>32</x:v>
      </x:c>
      <x:c r="B39" s="7" t="str">
        <x:v>接插件</x:v>
      </x:c>
      <x:c r="C39" s="7" t="str">
        <x:v>6脚双刀开关SWITCH</x:v>
      </x:c>
      <x:c r="D39" s="11" t="n">
        <x:v>3</x:v>
      </x:c>
      <x:c r="E39" s="7" t="str">
        <x:v>只</x:v>
      </x:c>
      <x:c r="F39" s="7" t="str">
        <x:v>2×3焊脚，单列相邻孔距2.50 mm，两列中心距5.50 mm。</x:v>
      </x:c>
      <x:c r="G39" s="7" t="str">
        <x:v>选择保持型电源开关，核实端子额定电流和通断逻辑；与语音瞬时按键不同。</x:v>
      </x:c>
      <x:c r="H39" s="7" t="str">
        <x:v>6脚 双刀 电源开关 2.5 5.5</x:v>
      </x:c>
      <x:c r="I39" s="13" t="e">
        <x:f>HYPERLINK("https://search.jd.com/Search?keyword=6%E8%84%9A%20%E5%8F%8C%E5%88%80%20%E7%94%B5%E6%BA%90%E5%BC%80%E5%85%B3%202.5%205.5&amp;enc=utf-8","京东检索")</x:f>
        <x:v>HYPERLINK is not implemented. linkLocation=https://search.jd.com/Search?keyword=6%E8%84%9A%20%E5%8F%8C%E5%88%80%20%E7%94%B5%E6%BA%90%E5%BC%80%E5%85%B3%202.5%205.5&amp;enc=utf-8, friendlyName=京东检索</x:v>
      </x:c>
      <x:c r="J39" s="13" t="e">
        <x:f>HYPERLINK("https://s.taobao.com/search?q=6%E8%84%9A%20%E5%8F%8C%E5%88%80%20%E7%94%B5%E6%BA%90%E5%BC%80%E5%85%B3%202.5%205.5","淘宝检索")</x:f>
        <x:v>HYPERLINK is not implemented. linkLocation=https://s.taobao.com/search?q=6%E8%84%9A%20%E5%8F%8C%E5%88%80%20%E7%94%B5%E6%BA%90%E5%BC%80%E5%85%B3%202.5%205.5, friendlyName=淘宝检索</x:v>
      </x:c>
      <x:c r="K39" s="7" t="str">
        <x:v>检索入口，未核验具体商品</x:v>
      </x:c>
      <x:c r="L39" s="7" t="str">
        <x:v>通用辅材建议，未逐项核验商品页</x:v>
      </x:c>
    </x:row>
    <x:row r="40" ht="76" customHeight="1">
      <x:c r="A40" s="6" t="str">
        <x:v>33</x:v>
      </x:c>
      <x:c r="B40" s="6" t="str">
        <x:v>接插件</x:v>
      </x:c>
      <x:c r="C40" s="6" t="str">
        <x:v>警号2P接线端子</x:v>
      </x:c>
      <x:c r="D40" s="10" t="n">
        <x:v>2</x:v>
      </x:c>
      <x:c r="E40" s="6" t="str">
        <x:v>只</x:v>
      </x:c>
      <x:c r="F40" s="6" t="str">
        <x:v>本地SIREN两孔中心距6.35 mm。</x:v>
      </x:c>
      <x:c r="G40" s="6" t="str">
        <x:v>不要默认买5.08 mm端子，若无合适外形可用可靠焊线并做应力固定。</x:v>
      </x:c>
      <x:c r="H40" s="6" t="str">
        <x:v>接线端子 2P 6.35mm</x:v>
      </x:c>
      <x:c r="I40" s="12" t="e">
        <x:f>HYPERLINK("https://search.jd.com/Search?keyword=%E6%8E%A5%E7%BA%BF%E7%AB%AF%E5%AD%90%202P%206.35mm&amp;enc=utf-8","京东检索")</x:f>
        <x:v>HYPERLINK is not implemented. linkLocation=https://search.jd.com/Search?keyword=%E6%8E%A5%E7%BA%BF%E7%AB%AF%E5%AD%90%202P%206.35mm&amp;enc=utf-8, friendlyName=京东检索</x:v>
      </x:c>
      <x:c r="J40" s="12" t="e">
        <x:f>HYPERLINK("https://s.taobao.com/search?q=%E6%8E%A5%E7%BA%BF%E7%AB%AF%E5%AD%90%202P%206.35mm","淘宝检索")</x:f>
        <x:v>HYPERLINK is not implemented. linkLocation=https://s.taobao.com/search?q=%E6%8E%A5%E7%BA%BF%E7%AB%AF%E5%AD%90%202P%206.35mm, friendlyName=淘宝检索</x:v>
      </x:c>
      <x:c r="K40" s="6" t="str">
        <x:v>检索入口，未核验具体商品</x:v>
      </x:c>
      <x:c r="L40" s="6" t="str">
        <x:v>通用辅材建议，未逐项核验商品页</x:v>
      </x:c>
    </x:row>
    <x:row r="41" ht="76" customHeight="1">
      <x:c r="A41" s="7" t="str">
        <x:v>34</x:v>
      </x:c>
      <x:c r="B41" s="7" t="str">
        <x:v>接插件</x:v>
      </x:c>
      <x:c r="C41" s="7" t="str">
        <x:v>杜邦线和硅胶电源线</x:v>
      </x:c>
      <x:c r="D41" s="11" t="n">
        <x:v>1</x:v>
      </x:c>
      <x:c r="E41" s="7" t="str">
        <x:v>批</x:v>
      </x:c>
      <x:c r="F41" s="7" t="str">
        <x:v>2.54mm公母/母母信号线；电源与警号另用较粗多股线，GSM电源线尽量短。</x:v>
      </x:c>
      <x:c r="G41" s="7" t="str">
        <x:v>麦克风线尽量短。不要用细杜邦线承载GSM峰值和警号负载。</x:v>
      </x:c>
      <x:c r="H41" s="7" t="str">
        <x:v>杜邦线 母母 公母 硅胶线 22AWG</x:v>
      </x:c>
      <x:c r="I41" s="13" t="e">
        <x:f>HYPERLINK("https://search.jd.com/Search?keyword=%E6%9D%9C%E9%82%A6%E7%BA%BF%20%E6%AF%8D%E6%AF%8D%20%E5%85%AC%E6%AF%8D%20%E7%A1%85%E8%83%B6%E7%BA%BF%2022AWG&amp;enc=utf-8","京东检索")</x:f>
        <x:v>HYPERLINK is not implemented. linkLocation=https://search.jd.com/Search?keyword=%E6%9D%9C%E9%82%A6%E7%BA%BF%20%E6%AF%8D%E6%AF%8D%20%E5%85%AC%E6%AF%8D%20%E7%A1%85%E8%83%B6%E7%BA%BF%2022AWG&amp;enc=utf-8, friendlyName=京东检索</x:v>
      </x:c>
      <x:c r="J41" s="13" t="e">
        <x:f>HYPERLINK("https://s.taobao.com/search?q=%E6%9D%9C%E9%82%A6%E7%BA%BF%20%E6%AF%8D%E6%AF%8D%20%E5%85%AC%E6%AF%8D%20%E7%A1%85%E8%83%B6%E7%BA%BF%2022AWG","淘宝检索")</x:f>
        <x:v>HYPERLINK is not implemented. linkLocation=https://s.taobao.com/search?q=%E6%9D%9C%E9%82%A6%E7%BA%BF%20%E6%AF%8D%E6%AF%8D%20%E5%85%AC%E6%AF%8D%20%E7%A1%85%E8%83%B6%E7%BA%BF%2022AWG, friendlyName=淘宝检索</x:v>
      </x:c>
      <x:c r="K41" s="7" t="str">
        <x:v>检索入口，未核验具体商品</x:v>
      </x:c>
      <x:c r="L41" s="7" t="str">
        <x:v>通用辅材建议，未逐项核验商品页</x:v>
      </x:c>
    </x:row>
    <x:row r="42" ht="76" customHeight="1">
      <x:c r="A42" s="6" t="str">
        <x:v>35</x:v>
      </x:c>
      <x:c r="B42" s="6" t="str">
        <x:v>装配</x:v>
      </x:c>
      <x:c r="C42" s="6" t="str">
        <x:v>2.54 mm洞洞板</x:v>
      </x:c>
      <x:c r="D42" s="10" t="n">
        <x:v>2</x:v>
      </x:c>
      <x:c r="E42" s="6" t="str">
        <x:v>块</x:v>
      </x:c>
      <x:c r="F42" s="6" t="str">
        <x:v>接口分压/按键/电平转换等外接小电路。</x:v>
      </x:c>
      <x:c r="G42" s="6" t="str">
        <x:v>不改原PCB布线，但新增外接电路需要独立固定。</x:v>
      </x:c>
      <x:c r="H42" s="6" t="str">
        <x:v>2.54 洞洞板 万能板</x:v>
      </x:c>
      <x:c r="I42" s="12" t="e">
        <x:f>HYPERLINK("https://search.jd.com/Search?keyword=2.54%20%E6%B4%9E%E6%B4%9E%E6%9D%BF%20%E4%B8%87%E8%83%BD%E6%9D%BF&amp;enc=utf-8","京东检索")</x:f>
        <x:v>HYPERLINK is not implemented. linkLocation=https://search.jd.com/Search?keyword=2.54%20%E6%B4%9E%E6%B4%9E%E6%9D%BF%20%E4%B8%87%E8%83%BD%E6%9D%BF&amp;enc=utf-8, friendlyName=京东检索</x:v>
      </x:c>
      <x:c r="J42" s="12" t="e">
        <x:f>HYPERLINK("https://s.taobao.com/search?q=2.54%20%E6%B4%9E%E6%B4%9E%E6%9D%BF%20%E4%B8%87%E8%83%BD%E6%9D%BF","淘宝检索")</x:f>
        <x:v>HYPERLINK is not implemented. linkLocation=https://s.taobao.com/search?q=2.54%20%E6%B4%9E%E6%B4%9E%E6%9D%BF%20%E4%B8%87%E8%83%BD%E6%9D%BF, friendlyName=淘宝检索</x:v>
      </x:c>
      <x:c r="K42" s="6" t="str">
        <x:v>检索入口，未核验具体商品</x:v>
      </x:c>
      <x:c r="L42" s="6" t="str">
        <x:v>通用辅材建议，未逐项核验商品页</x:v>
      </x:c>
    </x:row>
    <x:row r="43" ht="76" customHeight="1">
      <x:c r="A43" s="7" t="str">
        <x:v>36</x:v>
      </x:c>
      <x:c r="B43" s="7" t="str">
        <x:v>装配</x:v>
      </x:c>
      <x:c r="C43" s="7" t="str">
        <x:v>绝缘外壳</x:v>
      </x:c>
      <x:c r="D43" s="11" t="n">
        <x:v>3</x:v>
      </x:c>
      <x:c r="E43" s="7" t="str">
        <x:v>只</x:v>
      </x:c>
      <x:c r="F43" s="7" t="str">
        <x:v>选内尺寸能容纳约99.2×63.0 mm主板及高件，建议从120×90×60 mm内空间询价。</x:v>
      </x:c>
      <x:c r="G43" s="7" t="str">
        <x:v>尺寸为布置建议。预留USB、天线、传感器通气、麦克风声孔、OLED窗口。</x:v>
      </x:c>
      <x:c r="H43" s="7" t="str">
        <x:v>ABS 电子项目盒 外壳</x:v>
      </x:c>
      <x:c r="I43" s="13" t="e">
        <x:f>HYPERLINK("https://search.jd.com/Search?keyword=ABS%20%E7%94%B5%E5%AD%90%E9%A1%B9%E7%9B%AE%E7%9B%92%20%E5%A4%96%E5%A3%B3&amp;enc=utf-8","京东检索")</x:f>
        <x:v>HYPERLINK is not implemented. linkLocation=https://search.jd.com/Search?keyword=ABS%20%E7%94%B5%E5%AD%90%E9%A1%B9%E7%9B%AE%E7%9B%92%20%E5%A4%96%E5%A3%B3&amp;enc=utf-8, friendlyName=京东检索</x:v>
      </x:c>
      <x:c r="J43" s="13" t="e">
        <x:f>HYPERLINK("https://s.taobao.com/search?q=ABS%20%E7%94%B5%E5%AD%90%E9%A1%B9%E7%9B%AE%E7%9B%92%20%E5%A4%96%E5%A3%B3","淘宝检索")</x:f>
        <x:v>HYPERLINK is not implemented. linkLocation=https://s.taobao.com/search?q=ABS%20%E7%94%B5%E5%AD%90%E9%A1%B9%E7%9B%AE%E7%9B%92%20%E5%A4%96%E5%A3%B3, friendlyName=淘宝检索</x:v>
      </x:c>
      <x:c r="K43" s="7" t="str">
        <x:v>检索入口，未核验具体商品</x:v>
      </x:c>
      <x:c r="L43" s="7" t="str">
        <x:v>通用辅材建议，未逐项核验商品页</x:v>
      </x:c>
    </x:row>
    <x:row r="44" ht="76" customHeight="1">
      <x:c r="A44" s="6" t="str">
        <x:v>37</x:v>
      </x:c>
      <x:c r="B44" s="6" t="str">
        <x:v>装配</x:v>
      </x:c>
      <x:c r="C44" s="6" t="str">
        <x:v>绝缘固定件和辅材</x:v>
      </x:c>
      <x:c r="D44" s="10" t="n">
        <x:v>1</x:v>
      </x:c>
      <x:c r="E44" s="6" t="str">
        <x:v>批</x:v>
      </x:c>
      <x:c r="F44" s="6" t="str">
        <x:v>尼龙支撑/PCB卡槽、螺钉螺母、热缩管、扎带、标签、绝缘垫。</x:v>
      </x:c>
      <x:c r="G44" s="6" t="str">
        <x:v>原板未确认标准M3安装孔，不能直接假定铜柱穿板可用；按外壳固定结构购买。</x:v>
      </x:c>
      <x:c r="H44" s="6" t="str">
        <x:v>PCB 卡槽 支架 尼龙 支撑 热缩管</x:v>
      </x:c>
      <x:c r="I44" s="12" t="e">
        <x:f>HYPERLINK("https://search.jd.com/Search?keyword=PCB%20%E5%8D%A1%E6%A7%BD%20%E6%94%AF%E6%9E%B6%20%E5%B0%BC%E9%BE%99%20%E6%94%AF%E6%92%91%20%E7%83%AD%E7%BC%A9%E7%AE%A1&amp;enc=utf-8","京东检索")</x:f>
        <x:v>HYPERLINK is not implemented. linkLocation=https://search.jd.com/Search?keyword=PCB%20%E5%8D%A1%E6%A7%BD%20%E6%94%AF%E6%9E%B6%20%E5%B0%BC%E9%BE%99%20%E6%94%AF%E6%92%91%20%E7%83%AD%E7%BC%A9%E7%AE%A1&amp;enc=utf-8, friendlyName=京东检索</x:v>
      </x:c>
      <x:c r="J44" s="12" t="e">
        <x:f>HYPERLINK("https://s.taobao.com/search?q=PCB%20%E5%8D%A1%E6%A7%BD%20%E6%94%AF%E6%9E%B6%20%E5%B0%BC%E9%BE%99%20%E6%94%AF%E6%92%91%20%E7%83%AD%E7%BC%A9%E7%AE%A1","淘宝检索")</x:f>
        <x:v>HYPERLINK is not implemented. linkLocation=https://s.taobao.com/search?q=PCB%20%E5%8D%A1%E6%A7%BD%20%E6%94%AF%E6%9E%B6%20%E5%B0%BC%E9%BE%99%20%E6%94%AF%E6%92%91%20%E7%83%AD%E7%BC%A9%E7%AE%A1, friendlyName=淘宝检索</x:v>
      </x:c>
      <x:c r="K44" s="6" t="str">
        <x:v>检索入口，未核验具体商品</x:v>
      </x:c>
      <x:c r="L44" s="6" t="str">
        <x:v>通用辅材建议，未逐项核验商品页</x:v>
      </x:c>
    </x:row>
    <x:row r="45" ht="76" customHeight="1">
      <x:c r="A45" s="7" t="str">
        <x:v>38</x:v>
      </x:c>
      <x:c r="B45" s="7" t="str">
        <x:v>调试</x:v>
      </x:c>
      <x:c r="C45" s="7" t="str">
        <x:v>USB数据线</x:v>
      </x:c>
      <x:c r="D45" s="11" t="n">
        <x:v>3</x:v>
      </x:c>
      <x:c r="E45" s="7" t="str">
        <x:v>根</x:v>
      </x:c>
      <x:c r="F45" s="7" t="str">
        <x:v>匹配所选开发板接口，可传数据。</x:v>
      </x:c>
      <x:c r="G45" s="7" t="str">
        <x:v>USB与外部电源同时使用前确认开发板电源隔离，避免回灌。</x:v>
      </x:c>
      <x:c r="H45" s="7" t="str">
        <x:v>Type C USB 数据线</x:v>
      </x:c>
      <x:c r="I45" s="13" t="e">
        <x:f>HYPERLINK("https://search.jd.com/Search?keyword=Type%20C%20USB%20%E6%95%B0%E6%8D%AE%E7%BA%BF&amp;enc=utf-8","京东检索")</x:f>
        <x:v>HYPERLINK is not implemented. linkLocation=https://search.jd.com/Search?keyword=Type%20C%20USB%20%E6%95%B0%E6%8D%AE%E7%BA%BF&amp;enc=utf-8, friendlyName=京东检索</x:v>
      </x:c>
      <x:c r="J45" s="13" t="e">
        <x:f>HYPERLINK("https://s.taobao.com/search?q=Type%20C%20USB%20%E6%95%B0%E6%8D%AE%E7%BA%BF","淘宝检索")</x:f>
        <x:v>HYPERLINK is not implemented. linkLocation=https://s.taobao.com/search?q=Type%20C%20USB%20%E6%95%B0%E6%8D%AE%E7%BA%BF, friendlyName=淘宝检索</x:v>
      </x:c>
      <x:c r="K45" s="7" t="str">
        <x:v>检索入口，未核验具体商品</x:v>
      </x:c>
      <x:c r="L45" s="7" t="str">
        <x:v>通用辅材建议，未逐项核验商品页</x:v>
      </x:c>
    </x:row>
    <x:row r="46" ht="76" customHeight="1">
      <x:c r="A46" s="6" t="str">
        <x:v>39</x:v>
      </x:c>
      <x:c r="B46" s="6" t="str">
        <x:v>待定原位</x:v>
      </x:c>
      <x:c r="C46" s="6" t="str">
        <x:v>Q1三极管</x:v>
      </x:c>
      <x:c r="D46" s="10" t="n">
        <x:v>2</x:v>
      </x:c>
      <x:c r="E46" s="6" t="str">
        <x:v>只</x:v>
      </x:c>
      <x:c r="F46" s="6" t="str">
        <x:v>井下驱动位每板1只。外形类似TO-92，型号和E/B/C网络未确认。</x:v>
      </x:c>
      <x:c r="G46" s="6" t="str">
        <x:v>暂停按型号购买；Gerber丝印不能推断S8050、2N2222或其引脚排列。</x:v>
      </x:c>
      <x:c r="H46" s="6" t="str">
        <x:v>待原理图确认型号</x:v>
      </x:c>
      <x:c r="I46" s="12" t="str">
        <x:v>待定型号</x:v>
      </x:c>
      <x:c r="J46" s="12" t="str">
        <x:v>待定型号</x:v>
      </x:c>
      <x:c r="K46" s="6" t="str">
        <x:v>缺原理图/BOM，不可按占位词采购</x:v>
      </x:c>
      <x:c r="L46" s="6" t="str">
        <x:v>https://github.com/SanchilaAmavi/mine-safety-system</x:v>
      </x:c>
    </x:row>
    <x:row r="47" ht="76" customHeight="1">
      <x:c r="A47" s="7" t="str">
        <x:v>40</x:v>
      </x:c>
      <x:c r="B47" s="7" t="str">
        <x:v>待定原位</x:v>
      </x:c>
      <x:c r="C47" s="7" t="str">
        <x:v>Q2功率管</x:v>
      </x:c>
      <x:c r="D47" s="11" t="n">
        <x:v>2</x:v>
      </x:c>
      <x:c r="E47" s="7" t="str">
        <x:v>只</x:v>
      </x:c>
      <x:c r="F47" s="7" t="str">
        <x:v>井下驱动位每板1只。外形类似TO-220，孔距2.54 mm；器件类型/型号未确认。</x:v>
      </x:c>
      <x:c r="G47" s="7" t="str">
        <x:v>先确定栅极/源极/漏极网络、极性及驱动电压，不能直接指定IRF540或IRLZ44N。</x:v>
      </x:c>
      <x:c r="H47" s="7" t="str">
        <x:v>待原理图确认型号</x:v>
      </x:c>
      <x:c r="I47" s="13" t="str">
        <x:v>待定型号</x:v>
      </x:c>
      <x:c r="J47" s="13" t="str">
        <x:v>待定型号</x:v>
      </x:c>
      <x:c r="K47" s="7" t="str">
        <x:v>缺原理图/BOM，不可按占位词采购</x:v>
      </x:c>
      <x:c r="L47" s="7" t="str">
        <x:v>https://github.com/SanchilaAmavi/mine-safety-system</x:v>
      </x:c>
    </x:row>
    <x:row r="48" ht="76" customHeight="1">
      <x:c r="A48" s="6" t="str">
        <x:v>41</x:v>
      </x:c>
      <x:c r="B48" s="6" t="str">
        <x:v>待定原位</x:v>
      </x:c>
      <x:c r="C48" s="6" t="str">
        <x:v>R1、R2驱动电阻</x:v>
      </x:c>
      <x:c r="D48" s="10" t="n">
        <x:v>4</x:v>
      </x:c>
      <x:c r="E48" s="6" t="str">
        <x:v>只</x:v>
      </x:c>
      <x:c r="F48" s="6" t="str">
        <x:v>两个井下板各R1/R2一只，共4只。阻值、功率及装配方式未确认。</x:v>
      </x:c>
      <x:c r="G48" s="6" t="str">
        <x:v>不可拿外接分压的10k/15k直接代替。</x:v>
      </x:c>
      <x:c r="H48" s="6" t="str">
        <x:v>待原理图确认阻值</x:v>
      </x:c>
      <x:c r="I48" s="12" t="str">
        <x:v>待定型号</x:v>
      </x:c>
      <x:c r="J48" s="12" t="str">
        <x:v>待定型号</x:v>
      </x:c>
      <x:c r="K48" s="6" t="str">
        <x:v>缺原理图/BOM，不可按占位词采购</x:v>
      </x:c>
      <x:c r="L48" s="6" t="str">
        <x:v>https://github.com/SanchilaAmavi/mine-safety-system</x:v>
      </x:c>
    </x:row>
    <x:row r="49" ht="76" customHeight="1">
      <x:c r="A49" s="7" t="str">
        <x:v>42</x:v>
      </x:c>
      <x:c r="B49" s="7" t="str">
        <x:v>待定原位</x:v>
      </x:c>
      <x:c r="C49" s="7" t="str">
        <x:v>D1二极管</x:v>
      </x:c>
      <x:c r="D49" s="11" t="n">
        <x:v>2</x:v>
      </x:c>
      <x:c r="E49" s="7" t="str">
        <x:v>只</x:v>
      </x:c>
      <x:c r="F49" s="7" t="str">
        <x:v>井下板各1只。封装、极性、用途及耐压电流均待确认。</x:v>
      </x:c>
      <x:c r="G49" s="7" t="str">
        <x:v>不能仅凭D1假定是1N4007、SS34或稳压二极管。</x:v>
      </x:c>
      <x:c r="H49" s="7" t="str">
        <x:v>待原理图确认二极管</x:v>
      </x:c>
      <x:c r="I49" s="13" t="str">
        <x:v>待定型号</x:v>
      </x:c>
      <x:c r="J49" s="13" t="str">
        <x:v>待定型号</x:v>
      </x:c>
      <x:c r="K49" s="7" t="str">
        <x:v>缺原理图/BOM，不可按占位词采购</x:v>
      </x:c>
      <x:c r="L49" s="7" t="str">
        <x:v>https://github.com/SanchilaAmavi/mine-safety-system</x:v>
      </x:c>
    </x:row>
    <x:row r="50" ht="76" customHeight="1">
      <x:c r="A50" s="6" t="str">
        <x:v>43</x:v>
      </x:c>
      <x:c r="B50" s="6" t="str">
        <x:v>待定原位</x:v>
      </x:c>
      <x:c r="C50" s="6" t="str">
        <x:v>C2电解电容</x:v>
      </x:c>
      <x:c r="D50" s="10" t="n">
        <x:v>3</x:v>
      </x:c>
      <x:c r="E50" s="6" t="str">
        <x:v>只</x:v>
      </x:c>
      <x:c r="F50" s="6" t="str">
        <x:v>每板1个位置，孔中心距5.08 mm。容量、耐压和所在电源网络未确认。</x:v>
      </x:c>
      <x:c r="G50" s="6" t="str">
        <x:v>若在12V轨，16V仅是耐压起点，优先核对原设计。不要把GSM近端电容默认焊此处。</x:v>
      </x:c>
      <x:c r="H50" s="6" t="str">
        <x:v>待原理图确认 C2 5.08</x:v>
      </x:c>
      <x:c r="I50" s="12" t="str">
        <x:v>待定型号</x:v>
      </x:c>
      <x:c r="J50" s="12" t="str">
        <x:v>待定型号</x:v>
      </x:c>
      <x:c r="K50" s="6" t="str">
        <x:v>缺原理图/BOM，不可按占位词采购</x:v>
      </x:c>
      <x:c r="L50" s="6" t="str">
        <x:v>https://github.com/SanchilaAmavi/mine-safety-system</x:v>
      </x:c>
    </x:row>
    <x:row r="51" ht="76" customHeight="1">
      <x:c r="A51" s="7" t="str">
        <x:v>44</x:v>
      </x:c>
      <x:c r="B51" s="7" t="str">
        <x:v>备选外接</x:v>
      </x:c>
      <x:c r="C51" s="7" t="str">
        <x:v>3.3V触发MOS开关模块</x:v>
      </x:c>
      <x:c r="D51" s="11" t="n">
        <x:v>2</x:v>
      </x:c>
      <x:c r="E51" s="7" t="str">
        <x:v>块</x:v>
      </x:c>
      <x:c r="F51" s="7" t="str">
        <x:v>仅在无法确定原驱动级时作为外接替代路径，控制12V警号，支持高电平触发。</x:v>
      </x:c>
      <x:c r="G51" s="7" t="str">
        <x:v>与Q1/Q2/R1/R2/D1原位装配二选一。须验证GPIO18触发和断电状态，不算原位兼容。</x:v>
      </x:c>
      <x:c r="H51" s="7" t="str">
        <x:v>MOS 开关模块 3.3V 触发 12V</x:v>
      </x:c>
      <x:c r="I51" s="13" t="e">
        <x:f>HYPERLINK("https://search.jd.com/Search?keyword=MOS%20%E5%BC%80%E5%85%B3%E6%A8%A1%E5%9D%97%203.3V%20%E8%A7%A6%E5%8F%91%2012V&amp;enc=utf-8","京东检索")</x:f>
        <x:v>HYPERLINK is not implemented. linkLocation=https://search.jd.com/Search?keyword=MOS%20%E5%BC%80%E5%85%B3%E6%A8%A1%E5%9D%97%203.3V%20%E8%A7%A6%E5%8F%91%2012V&amp;enc=utf-8, friendlyName=京东检索</x:v>
      </x:c>
      <x:c r="J51" s="13" t="e">
        <x:f>HYPERLINK("https://s.taobao.com/search?q=MOS%20%E5%BC%80%E5%85%B3%E6%A8%A1%E5%9D%97%203.3V%20%E8%A7%A6%E5%8F%91%2012V","淘宝检索")</x:f>
        <x:v>HYPERLINK is not implemented. linkLocation=https://s.taobao.com/search?q=MOS%20%E5%BC%80%E5%85%B3%E6%A8%A1%E5%9D%97%203.3V%20%E8%A7%A6%E5%8F%91%2012V, friendlyName=淘宝检索</x:v>
      </x:c>
      <x:c r="K51" s="7" t="str">
        <x:v>京东有同类记录；控制门限待核</x:v>
      </x:c>
      <x:c r="L51" s="7" t="str">
        <x:v>https://www.jd.com/chanpin/3111473.html</x:v>
      </x:c>
    </x:row>
    <x:row r="52" ht="76" customHeight="1">
      <x:c r="A52" s="6" t="str">
        <x:v>45</x:v>
      </x:c>
      <x:c r="B52" s="6" t="str">
        <x:v>备件</x:v>
      </x:c>
      <x:c r="C52" s="6" t="str">
        <x:v>关键模块备件</x:v>
      </x:c>
      <x:c r="D52" s="10" t="n">
        <x:v>1</x:v>
      </x:c>
      <x:c r="E52" s="6" t="str">
        <x:v>批</x:v>
      </x:c>
      <x:c r="F52" s="6" t="str">
        <x:v>可另备ESP32-S3×1、Ra-02+底板+天线×1、INMP441×1。</x:v>
      </x:c>
      <x:c r="G52" s="6" t="str">
        <x:v>选配，未计入上方装机数量。已有可用硬件按实际抵扣，文件存在不等于实物已持有。</x:v>
      </x:c>
      <x:c r="H52" s="6" t="str">
        <x:v>ESP32 S3 N16R8 Ra02 INMP441</x:v>
      </x:c>
      <x:c r="I52" s="12" t="e">
        <x:f>HYPERLINK("https://search.jd.com/Search?keyword=ESP32%20S3%20N16R8%20Ra02%20INMP441&amp;enc=utf-8","京东检索")</x:f>
        <x:v>HYPERLINK is not implemented. linkLocation=https://search.jd.com/Search?keyword=ESP32%20S3%20N16R8%20Ra02%20INMP441&amp;enc=utf-8, friendlyName=京东检索</x:v>
      </x:c>
      <x:c r="J52" s="12" t="e">
        <x:f>HYPERLINK("https://s.taobao.com/search?q=ESP32%20S3%20N16R8%20Ra02%20INMP441","淘宝检索")</x:f>
        <x:v>HYPERLINK is not implemented. linkLocation=https://s.taobao.com/search?q=ESP32%20S3%20N16R8%20Ra02%20INMP441, friendlyName=淘宝检索</x:v>
      </x:c>
      <x:c r="K52" s="6" t="str">
        <x:v>检索入口，未核验具体商品</x:v>
      </x:c>
      <x:c r="L52" s="6" t="str">
        <x:v>通用辅材建议，未逐项核验商品页</x:v>
      </x:c>
    </x:row>
    <x:row r="53" ht="76" customHeight="1">
      <x:c r="A53" s="7" t="str">
        <x:v>46</x:v>
      </x:c>
      <x:c r="B53" s="7" t="str">
        <x:v>工具</x:v>
      </x:c>
      <x:c r="C53" s="7" t="str">
        <x:v>万用表及焊接工具</x:v>
      </x:c>
      <x:c r="D53" s="11" t="n">
        <x:v>1</x:v>
      </x:c>
      <x:c r="E53" s="7" t="str">
        <x:v>套</x:v>
      </x:c>
      <x:c r="F53" s="7" t="str">
        <x:v>万用表、恒温焊台、焊锡/助焊剂、吸锡带、镊子、剥线钳。</x:v>
      </x:c>
      <x:c r="G53" s="7" t="str">
        <x:v>已有可借用。上电前测各电源轨电压和对地短路。</x:v>
      </x:c>
      <x:c r="H53" s="7" t="str">
        <x:v>数字万用表 恒温焊台 焊接工具</x:v>
      </x:c>
      <x:c r="I53" s="13" t="e">
        <x:f>HYPERLINK("https://search.jd.com/Search?keyword=%E6%95%B0%E5%AD%97%E4%B8%87%E7%94%A8%E8%A1%A8%20%E6%81%92%E6%B8%A9%E7%84%8A%E5%8F%B0%20%E7%84%8A%E6%8E%A5%E5%B7%A5%E5%85%B7&amp;enc=utf-8","京东检索")</x:f>
        <x:v>HYPERLINK is not implemented. linkLocation=https://search.jd.com/Search?keyword=%E6%95%B0%E5%AD%97%E4%B8%87%E7%94%A8%E8%A1%A8%20%E6%81%92%E6%B8%A9%E7%84%8A%E5%8F%B0%20%E7%84%8A%E6%8E%A5%E5%B7%A5%E5%85%B7&amp;enc=utf-8, friendlyName=京东检索</x:v>
      </x:c>
      <x:c r="J53" s="13" t="e">
        <x:f>HYPERLINK("https://s.taobao.com/search?q=%E6%95%B0%E5%AD%97%E4%B8%87%E7%94%A8%E8%A1%A8%20%E6%81%92%E6%B8%A9%E7%84%8A%E5%8F%B0%20%E7%84%8A%E6%8E%A5%E5%B7%A5%E5%85%B7","淘宝检索")</x:f>
        <x:v>HYPERLINK is not implemented. linkLocation=https://s.taobao.com/search?q=%E6%95%B0%E5%AD%97%E4%B8%87%E7%94%A8%E8%A1%A8%20%E6%81%92%E6%B8%A9%E7%84%8A%E5%8F%B0%20%E7%84%8A%E6%8E%A5%E5%B7%A5%E5%85%B7, friendlyName=淘宝检索</x:v>
      </x:c>
      <x:c r="K53" s="7" t="str">
        <x:v>检索入口，未核验具体商品</x:v>
      </x:c>
      <x:c r="L53" s="7" t="str">
        <x:v>通用辅材建议，未逐项核验商品页</x:v>
      </x:c>
    </x:row>
    <x:row r="54" ht="76" customHeight="1">
      <x:c r="A54" s="6" t="str">
        <x:v>47</x:v>
      </x:c>
      <x:c r="B54" s="6" t="str">
        <x:v>演示已有</x:v>
      </x:c>
      <x:c r="C54" s="6" t="str">
        <x:v>电脑、手机和2.4GHz网络</x:v>
      </x:c>
      <x:c r="D54" s="10" t="n">
        <x:v>1</x:v>
      </x:c>
      <x:c r="E54" s="6" t="str">
        <x:v>套</x:v>
      </x:c>
      <x:c r="F54" s="6" t="str">
        <x:v>训练/烧录电脑、App演示手机，可用手机热点；断网演示本身不需路由器。</x:v>
      </x:c>
      <x:c r="G54" s="6" t="str">
        <x:v>默认复用。离线关键词识别不需树莓派、摄像头、功放或语音播放扬声器。</x:v>
      </x:c>
      <x:c r="H54" s="6" t="str">
        <x:v>2.4GHz WiFi 路由器</x:v>
      </x:c>
      <x:c r="I54" s="12" t="e">
        <x:f>HYPERLINK("https://search.jd.com/Search?keyword=2.4GHz%20WiFi%20%E8%B7%AF%E7%94%B1%E5%99%A8&amp;enc=utf-8","京东检索")</x:f>
        <x:v>HYPERLINK is not implemented. linkLocation=https://search.jd.com/Search?keyword=2.4GHz%20WiFi%20%E8%B7%AF%E7%94%B1%E5%99%A8&amp;enc=utf-8, friendlyName=京东检索</x:v>
      </x:c>
      <x:c r="J54" s="12" t="e">
        <x:f>HYPERLINK("https://s.taobao.com/search?q=2.4GHz%20WiFi%20%E8%B7%AF%E7%94%B1%E5%99%A8","淘宝检索")</x:f>
        <x:v>HYPERLINK is not implemented. linkLocation=https://s.taobao.com/search?q=2.4GHz%20WiFi%20%E8%B7%AF%E7%94%B1%E5%99%A8, friendlyName=淘宝检索</x:v>
      </x:c>
      <x:c r="K54" s="6" t="str">
        <x:v>检索入口，未核验具体商品</x:v>
      </x:c>
      <x:c r="L54" s="6" t="str">
        <x:v>通用辅材建议，未逐项核验商品页</x:v>
      </x:c>
    </x:row>
  </x:sheetData>
  <x:conditionalFormatting sqref="B8:B54">
    <x:cfRule type="containsText" dxfId="0" priority="1" operator="containsText" text="待定"/>
  </x:conditionalFormatting>
  <x:pageMargins left="0.7" right="0.7" top="0.75" bottom="0.75" header="0.3" footer="0.3"/>
  <x:tableParts count="1">
    <x:tablePart xmlns:r="http://schemas.openxmlformats.org/officeDocument/2006/relationships" r:id="R57af93328ed34e4e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22" hidden="0" customWidth="1"/>
    <x:col min="2" max="2" width="40" hidden="0" customWidth="1"/>
    <x:col min="3" max="3" width="115" hidden="0" customWidth="1"/>
    <x:col min="4" max="4" width="65" hidden="0" customWidth="1"/>
  </x:cols>
  <x:sheetData>
    <x:row r="1" ht="28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8" customHeight="1">
      <x:c r="A2" s="3" t="str">
        <x:v>PCB尺寸、装配边界与接线核对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8" customHeight="1">
      <x:c r="A3" s="2" t="str">
        <x:v>尺寸为本地Gerber坐标计算；有孔位证据不等于已经验证电气网络。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8" customHeight="1">
      <x:c r="A4" s="2" t="str">
        <x:v>原仓库：https://github.com/SanchilaAmavi/mine-safety-system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28" customHeight="1">
      <x:c r="A5" s="2" t="str">
        <x:v>优先向卖家确认开发板、LoRa底板、降压板和接插件，避免同名不同封装。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 ht="28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</x:row>
    <x:row r="7" ht="32" customHeight="1">
      <x:c r="A7" s="17" t="str">
        <x:v>核对项目</x:v>
      </x:c>
      <x:c r="B7" s="17" t="str">
        <x:v>规格或结论</x:v>
      </x:c>
      <x:c r="C7" s="17" t="str">
        <x:v>具体说明</x:v>
      </x:c>
      <x:c r="D7" s="17" t="str">
        <x:v>依据</x:v>
      </x:c>
      <x:c r="E7" s="2"/>
      <x:c r="F7" s="2"/>
      <x:c r="G7" s="2"/>
      <x:c r="H7" s="2"/>
      <x:c r="I7" s="2"/>
      <x:c r="J7" s="2"/>
      <x:c r="K7" s="2"/>
      <x:c r="L7" s="2"/>
    </x:row>
    <x:row r="8" ht="70" customHeight="1">
      <x:c r="A8" s="6" t="str">
        <x:v>方案基线</x:v>
      </x:c>
      <x:c r="B8" s="6" t="str">
        <x:v>9月9日离线语音方案</x:v>
      </x:c>
      <x:c r="C8" s="6" t="str">
        <x:v>两套井下节点+一套地面网关。只给井下节点1增加INMP441和瞬时按键。</x:v>
      </x:c>
      <x:c r="D8" s="6" t="str">
        <x:v>本地最新方案及build_competition_plan.py</x:v>
      </x:c>
      <x:c r="E8" s="2"/>
      <x:c r="F8" s="2"/>
      <x:c r="G8" s="2"/>
      <x:c r="H8" s="2"/>
      <x:c r="I8" s="2"/>
      <x:c r="J8" s="2"/>
      <x:c r="K8" s="2"/>
      <x:c r="L8" s="2"/>
    </x:row>
    <x:row r="9" ht="70" customHeight="1">
      <x:c r="A9" s="7" t="str">
        <x:v>核验范围</x:v>
      </x:c>
      <x:c r="B9" s="7" t="str">
        <x:v>尚非逐器件定版BOM</x:v>
      </x:c>
      <x:c r="C9" s="7" t="str">
        <x:v>本次已核对原仓库、固件、实物照片和Gerber钻孔。无完整原理图/BOM，未做实板通断或全网表还原。</x:v>
      </x:c>
      <x:c r="D9" s="7" t="str">
        <x:v>GitHub README和本地Gerber</x:v>
      </x:c>
      <x:c r="E9" s="2"/>
      <x:c r="F9" s="2"/>
      <x:c r="G9" s="2"/>
      <x:c r="H9" s="2"/>
      <x:c r="I9" s="2"/>
      <x:c r="J9" s="2"/>
      <x:c r="K9" s="2"/>
      <x:c r="L9" s="2"/>
    </x:row>
    <x:row r="10" ht="70" customHeight="1">
      <x:c r="A10" s="6" t="str">
        <x:v>采购证据</x:v>
      </x:c>
      <x:c r="B10" s="6" t="str">
        <x:v>商品记录不等于库存确认</x:v>
      </x:c>
      <x:c r="C10" s="6" t="str">
        <x:v>京东主要模块查到商品页或集合记录；链接未证明具体SKU的尺寸、电气兼容或收货地库存。淘宝仅提供检索入口。</x:v>
      </x:c>
      <x:c r="D10" s="6" t="str">
        <x:v>2026-09-11检索</x:v>
      </x:c>
      <x:c r="E10" s="2"/>
      <x:c r="F10" s="2"/>
      <x:c r="G10" s="2"/>
      <x:c r="H10" s="2"/>
      <x:c r="I10" s="2"/>
      <x:c r="J10" s="2"/>
      <x:c r="K10" s="2"/>
      <x:c r="L10" s="2"/>
    </x:row>
    <x:row r="11" ht="70" customHeight="1">
      <x:c r="A11" s="7" t="str">
        <x:v>PCB外形</x:v>
      </x:c>
      <x:c r="B11" s="7" t="str">
        <x:v>99.187 × 62.992 mm</x:v>
      </x:c>
      <x:c r="C11" s="7" t="str">
        <x:v>板框X=9.271至108.458，Y=-35.052至27.940。板厚和铜厚未从Gerber证实。</x:v>
      </x:c>
      <x:c r="D11" s="7" t="str">
        <x:v>Gerber_BoardOutlineLayer.GKO</x:v>
      </x:c>
      <x:c r="E11" s="2"/>
      <x:c r="F11" s="2"/>
      <x:c r="G11" s="2"/>
      <x:c r="H11" s="2"/>
      <x:c r="I11" s="2"/>
      <x:c r="J11" s="2"/>
      <x:c r="K11" s="2"/>
      <x:c r="L11" s="2"/>
    </x:row>
    <x:row r="12" ht="70" customHeight="1">
      <x:c r="A12" s="6" t="str">
        <x:v>ESP32插座</x:v>
      </x:c>
      <x:c r="B12" s="6" t="str">
        <x:v>2×22；2.54 mm；排距25.40 mm</x:v>
      </x:c>
      <x:c r="C12" s="6" t="str">
        <x:v>两排Y=19.431和-5.969。每排X=52.832至106.172。要求完整开发板按此针序布置。</x:v>
      </x:c>
      <x:c r="D12" s="6" t="str">
        <x:v>Drill_PTH_Through.DRL，T03</x:v>
      </x:c>
      <x:c r="E12" s="2"/>
      <x:c r="F12" s="2"/>
      <x:c r="G12" s="2"/>
      <x:c r="H12" s="2"/>
      <x:c r="I12" s="2"/>
      <x:c r="J12" s="2"/>
      <x:c r="K12" s="2"/>
      <x:c r="L12" s="2"/>
    </x:row>
    <x:row r="13" ht="104" customHeight="1">
      <x:c r="A13" s="7" t="str">
        <x:v>ESP32针序</x:v>
      </x:c>
      <x:c r="B13" s="7" t="str">
        <x:v>从天线端到USB端核对</x:v>
      </x:c>
      <x:c r="C13" s="7" t="str">
        <x:v>3V3侧：3V3,3V3,RST,4,5,6,7,15,16,17,18,8,3,46,9,10,11,12,13,14,5V,GND。另一侧：GND,TX,RX,1,2,42,41,40,39,38,37,36,35,0,45,48,47,21,20,19,GND,GND。</x:v>
      </x:c>
      <x:c r="D13" s="7" t="str">
        <x:v>Gerber_TopSilkscreenLayer.GTO和原板照片</x:v>
      </x:c>
      <x:c r="E13" s="2"/>
      <x:c r="F13" s="2"/>
      <x:c r="G13" s="2"/>
      <x:c r="H13" s="2"/>
      <x:c r="I13" s="2"/>
      <x:c r="J13" s="2"/>
      <x:c r="K13" s="2"/>
      <x:c r="L13" s="2"/>
    </x:row>
    <x:row r="14" ht="70" customHeight="1">
      <x:c r="A14" s="6" t="str">
        <x:v>LoRa底板</x:v>
      </x:c>
      <x:c r="B14" s="6" t="str">
        <x:v>2×8；2.54 mm；排距25.40 mm</x:v>
      </x:c>
      <x:c r="C14" s="6" t="str">
        <x:v>两列X=73.787和99.187；Y=-12.954至-30.734。必须带转接板，针序另核。</x:v>
      </x:c>
      <x:c r="D14" s="6" t="str">
        <x:v>Drill_PTH_Through.DRL，T04</x:v>
      </x:c>
      <x:c r="E14" s="2"/>
      <x:c r="F14" s="2"/>
      <x:c r="G14" s="2"/>
      <x:c r="H14" s="2"/>
      <x:c r="I14" s="2"/>
      <x:c r="J14" s="2"/>
      <x:c r="K14" s="2"/>
      <x:c r="L14" s="2"/>
    </x:row>
    <x:row r="15" ht="70" customHeight="1">
      <x:c r="A15" s="7" t="str">
        <x:v>降压板</x:v>
      </x:c>
      <x:c r="B15" s="7" t="str">
        <x:v>焊孔矩形40.005 × 17.780 mm</x:v>
      </x:c>
      <x:c r="C15" s="7" t="str">
        <x:v>X=25.273/65.278，Y=-13.081/-30.861；按丝印IN+/IN-/OUT+/OUT-核对。孔位不是板外形尺寸。</x:v>
      </x:c>
      <x:c r="D15" s="7" t="str">
        <x:v>Drill_PTH_Through.DRL，T04</x:v>
      </x:c>
      <x:c r="E15" s="2"/>
      <x:c r="F15" s="2"/>
      <x:c r="G15" s="2"/>
      <x:c r="H15" s="2"/>
      <x:c r="I15" s="2"/>
      <x:c r="J15" s="2"/>
      <x:c r="K15" s="2"/>
      <x:c r="L15" s="2"/>
    </x:row>
    <x:row r="16" ht="70" customHeight="1">
      <x:c r="A16" s="6" t="str">
        <x:v>警号端子</x:v>
      </x:c>
      <x:c r="B16" s="6" t="str">
        <x:v>6.35 mm</x:v>
      </x:c>
      <x:c r="C16" s="6" t="str">
        <x:v>X=22.860和29.210，Y=22.733。可按孔距买端子，外形仍需匹配。</x:v>
      </x:c>
      <x:c r="D16" s="6" t="str">
        <x:v>Drill_PTH_Through.DRL，T09</x:v>
      </x:c>
      <x:c r="E16" s="2"/>
      <x:c r="F16" s="2"/>
      <x:c r="G16" s="2"/>
      <x:c r="H16" s="2"/>
      <x:c r="I16" s="2"/>
      <x:c r="J16" s="2"/>
      <x:c r="K16" s="2"/>
      <x:c r="L16" s="2"/>
    </x:row>
    <x:row r="17" ht="70" customHeight="1">
      <x:c r="A17" s="7" t="str">
        <x:v>电源开关</x:v>
      </x:c>
      <x:c r="B17" s="7" t="str">
        <x:v>单列2.50 mm；两列5.50 mm</x:v>
      </x:c>
      <x:c r="C17" s="7" t="str">
        <x:v>2×3脚。X=11.982/17.482，Y=-31.202/-28.702/-26.202；检查开关内部连接。</x:v>
      </x:c>
      <x:c r="D17" s="7" t="str">
        <x:v>Drill_PTH_Through.DRL，T05</x:v>
      </x:c>
      <x:c r="E17" s="2"/>
      <x:c r="F17" s="2"/>
      <x:c r="G17" s="2"/>
      <x:c r="H17" s="2"/>
      <x:c r="I17" s="2"/>
      <x:c r="J17" s="2"/>
      <x:c r="K17" s="2"/>
      <x:c r="L17" s="2"/>
    </x:row>
    <x:row r="18" ht="70" customHeight="1">
      <x:c r="A18" s="6" t="str">
        <x:v>P1/C2</x:v>
      </x:c>
      <x:c r="B18" s="6" t="str">
        <x:v>P1约5.00 mm；C2为5.08 mm</x:v>
      </x:c>
      <x:c r="C18" s="6" t="str">
        <x:v>P1三孔近共线；C2两孔X=37.719/42.799。仅能约束机械尺寸，不能给出DC座具体型号或电容值。</x:v>
      </x:c>
      <x:c r="D18" s="6" t="str">
        <x:v>Drill_PTH_Through.DRL，T10/T05</x:v>
      </x:c>
      <x:c r="E18" s="2"/>
      <x:c r="F18" s="2"/>
      <x:c r="G18" s="2"/>
      <x:c r="H18" s="2"/>
      <x:c r="I18" s="2"/>
      <x:c r="J18" s="2"/>
      <x:c r="K18" s="2"/>
      <x:c r="L18" s="2"/>
    </x:row>
    <x:row r="19" ht="70" customHeight="1">
      <x:c r="A19" s="7" t="str">
        <x:v>原驱动级</x:v>
      </x:c>
      <x:c r="B19" s="7" t="str">
        <x:v>Q1/Q2/R1/R2/D1待定</x:v>
      </x:c>
      <x:c r="C19" s="7" t="str">
        <x:v>严格原位装配需要作者的原理图或BOM；外接MOS驱动是另外一条实现路径，不能冒称原版元件。</x:v>
      </x:c>
      <x:c r="D19" s="7" t="str">
        <x:v>原板丝印和assembled pcb.jpg</x:v>
      </x:c>
      <x:c r="E19" s="2"/>
      <x:c r="F19" s="2"/>
      <x:c r="G19" s="2"/>
      <x:c r="H19" s="2"/>
      <x:c r="I19" s="2"/>
      <x:c r="J19" s="2"/>
      <x:c r="K19" s="2"/>
      <x:c r="L19" s="2"/>
    </x:row>
    <x:row r="20" ht="70" customHeight="1">
      <x:c r="A20" s="6" t="str">
        <x:v>电源路径</x:v>
      </x:c>
      <x:c r="B20" s="6" t="str">
        <x:v>12V、5V、3.3V、约4V分开</x:v>
      </x:c>
      <x:c r="C20" s="6" t="str">
        <x:v>12V供警号，主降压5V供ESP32开发板及适配的MQ模块，Ra-02/INMP441用3.3V。SIM800L按小板说明独立供电。</x:v>
      </x:c>
      <x:c r="D20" s="6" t="str">
        <x:v>原方案；安信可Ra-02；SIMCom供电文档</x:v>
      </x:c>
      <x:c r="E20" s="2"/>
      <x:c r="F20" s="2"/>
      <x:c r="G20" s="2"/>
      <x:c r="H20" s="2"/>
      <x:c r="I20" s="2"/>
      <x:c r="J20" s="2"/>
      <x:c r="K20" s="2"/>
      <x:c r="L20" s="2"/>
    </x:row>
    <x:row r="21" ht="70" customHeight="1">
      <x:c r="A21" s="7" t="str">
        <x:v>模拟输入保护</x:v>
      </x:c>
      <x:c r="B21" s="7" t="str">
        <x:v>四路MQ AO先核电压</x:v>
      </x:c>
      <x:c r="C21" s="7" t="str">
        <x:v>10k上臂+15k下臂使5V约变3.0V；需外接改线且重新标定阈值。若原板已有合适分压不叠加。5V供电水位模块也须同样核验输出上限。</x:v>
      </x:c>
      <x:c r="D21" s="7" t="str">
        <x:v>原固件GPIO4/5/6为ADC输入；工程补充选型</x:v>
      </x:c>
      <x:c r="E21" s="2"/>
      <x:c r="F21" s="2"/>
      <x:c r="G21" s="2"/>
      <x:c r="H21" s="2"/>
      <x:c r="I21" s="2"/>
      <x:c r="J21" s="2"/>
      <x:c r="K21" s="2"/>
      <x:c r="L21" s="2"/>
    </x:row>
    <x:row r="22" ht="70" customHeight="1">
      <x:c r="A22" s="6" t="str">
        <x:v>语音飞线建议</x:v>
      </x:c>
      <x:c r="B22" s="6" t="str">
        <x:v>GPIO15/16/17及GPIO7</x:v>
      </x:c>
      <x:c r="C22" s="6" t="str">
        <x:v>候选映射：SCK=15，WS=16，SD=17，按键=7。仅根据现有井下固件未占用提出，须测原板网络后确定；LR接GND选单声道。</x:v>
      </x:c>
      <x:c r="D22" s="6" t="str">
        <x:v>underground_node1_mine1.ino；INMP441模块引脚需实物核对</x:v>
      </x:c>
      <x:c r="E22" s="2"/>
      <x:c r="F22" s="2"/>
      <x:c r="G22" s="2"/>
      <x:c r="H22" s="2"/>
      <x:c r="I22" s="2"/>
      <x:c r="J22" s="2"/>
      <x:c r="K22" s="2"/>
      <x:c r="L22" s="2"/>
    </x:row>
    <x:row r="23" ht="70" customHeight="1">
      <x:c r="A23" s="7" t="str">
        <x:v>已占用引脚</x:v>
      </x:c>
      <x:c r="B23" s="7" t="str">
        <x:v>LoRa与传感器保持一致</x:v>
      </x:c>
      <x:c r="C23" s="7" t="str">
        <x:v>LoRa NSS10/MOSI11/SCK12/MISO13/RST14/DIO0=9；井下MQ4=4/MQ7=5/水位6/警号18；地面OLED5/6、蜂鸣器8、GSM47/48/19。</x:v>
      </x:c>
      <x:c r="D23" s="7" t="str">
        <x:v>本地firmware的两个节点文件</x:v>
      </x:c>
      <x:c r="E23" s="2"/>
      <x:c r="F23" s="2"/>
      <x:c r="G23" s="2"/>
      <x:c r="H23" s="2"/>
      <x:c r="I23" s="2"/>
      <x:c r="J23" s="2"/>
      <x:c r="K23" s="2"/>
      <x:c r="L23" s="2"/>
    </x:row>
    <x:row r="24" ht="70" customHeight="1">
      <x:c r="A24" s="6" t="str">
        <x:v>地面USB冲突</x:v>
      </x:c>
      <x:c r="B24" s="6" t="str">
        <x:v>GSM_RST=19需核对</x:v>
      </x:c>
      <x:c r="C24" s="6" t="str">
        <x:v>ESP32-S3 GPIO19涉及原生USB D-，如使用原生USB口需检查冲突，优先用独立USB-UART口调试。GPIO35/36/37也不作为N16R8语音接线默认选择。</x:v>
      </x:c>
      <x:c r="D24" s="6" t="str">
        <x:v>现有固件；ESP32-S3开发板资料</x:v>
      </x:c>
      <x:c r="E24" s="2"/>
      <x:c r="F24" s="2"/>
      <x:c r="G24" s="2"/>
      <x:c r="H24" s="2"/>
      <x:c r="I24" s="2"/>
      <x:c r="J24" s="2"/>
      <x:c r="K24" s="2"/>
      <x:c r="L24" s="2"/>
    </x:row>
    <x:row r="25" ht="70" customHeight="1">
      <x:c r="A25" s="7" t="str">
        <x:v>SIM800L使用条件</x:v>
      </x:c>
      <x:c r="B25" s="7" t="str">
        <x:v>网络及供电均待验证</x:v>
      </x:c>
      <x:c r="C25" s="7" t="str">
        <x:v>裸SIM800L典型供电3.4—4.4V、推荐4.0V并有约2A脉冲需求。成品小板可能自带稳压。2G注册/短信能力须在比赛地点实测。</x:v>
      </x:c>
      <x:c r="D25" s="7" t="str">
        <x:v>SIMCom SIM800H&amp;SIM800L Hardware Design V2.02</x:v>
      </x:c>
      <x:c r="E25" s="2"/>
      <x:c r="F25" s="2"/>
      <x:c r="G25" s="2"/>
      <x:c r="H25" s="2"/>
      <x:c r="I25" s="2"/>
      <x:c r="J25" s="2"/>
      <x:c r="K25" s="2"/>
      <x:c r="L25" s="2"/>
    </x:row>
    <x:row r="26" ht="70" customHeight="1">
      <x:c r="A26" s="6" t="str">
        <x:v>MQ-7局限</x:v>
      </x:c>
      <x:c r="B26" s="6" t="str">
        <x:v>演示阈值不能当可靠ppm</x:v>
      </x:c>
      <x:c r="C26" s="6" t="str">
        <x:v>实际气敏元件的加热周期按厂家型号资料实施。MQ-7B资料给出高温60秒、低温90秒，不能默认所有廉价模块已实现。</x:v>
      </x:c>
      <x:c r="D26" s="6" t="str">
        <x:v>https://www.winsen-sensor.com/product/mq-7b.html?trk=public_post-text</x:v>
      </x:c>
      <x:c r="E26" s="2"/>
      <x:c r="F26" s="2"/>
      <x:c r="G26" s="2"/>
      <x:c r="H26" s="2"/>
      <x:c r="I26" s="2"/>
      <x:c r="J26" s="2"/>
      <x:c r="K26" s="2"/>
      <x:c r="L26" s="2"/>
    </x:row>
    <x:row r="27" ht="70" customHeight="1">
      <x:c r="A27" s="7" t="str">
        <x:v>采购范围</x:v>
      </x:c>
      <x:c r="B27" s="7" t="str">
        <x:v>教学和竞赛原型</x:v>
      </x:c>
      <x:c r="C27" s="7" t="str">
        <x:v>沿用最新方案的实验室用途；本清单不构成真实矿井使用的认证设备选型。</x:v>
      </x:c>
      <x:c r="D27" s="7" t="str">
        <x:v>最新本地方案第八节</x:v>
      </x:c>
      <x:c r="E27" s="2"/>
      <x:c r="F27" s="2"/>
      <x:c r="G27" s="2"/>
      <x:c r="H27" s="2"/>
      <x:c r="I27" s="2"/>
      <x:c r="J27" s="2"/>
      <x:c r="K27" s="2"/>
      <x:c r="L27" s="2"/>
    </x:row>
    <x:row r="28" ht="70" customHeight="1">
      <x:c r="A28" s="6" t="str">
        <x:v>向卖家发送</x:v>
      </x:c>
      <x:c r="B28" s="6" t="str">
        <x:v>开发板机械核对</x:v>
      </x:c>
      <x:c r="C28" s="6" t="str">
        <x:v>请确认ESP32-S3 N16R8是44针双USB板，每排22针、间距2.54mm、两排中心距25.40mm，并发正反面高清图及尺寸图。</x:v>
      </x:c>
      <x:c r="D28" s="6" t="str">
        <x:v>可复制询价文本</x:v>
      </x:c>
      <x:c r="E28" s="2"/>
      <x:c r="F28" s="2"/>
      <x:c r="G28" s="2"/>
      <x:c r="H28" s="2"/>
      <x:c r="I28" s="2"/>
      <x:c r="J28" s="2"/>
      <x:c r="K28" s="2"/>
      <x:c r="L28" s="2"/>
    </x:row>
    <x:row r="29" ht="70" customHeight="1">
      <x:c r="A29" s="7" t="str">
        <x:v>向卖家发送</x:v>
      </x:c>
      <x:c r="B29" s="7" t="str">
        <x:v>LoRa和电源板机械核对</x:v>
      </x:c>
      <x:c r="C29" s="7" t="str">
        <x:v>请确认Ra-02带16针转接板，每侧8针、两排中心距25.40mm；降压板四焊孔中心矩形40.005×17.780mm，并提供引脚图。</x:v>
      </x:c>
      <x:c r="D29" s="7" t="str">
        <x:v>可复制询价文本</x:v>
      </x:c>
      <x:c r="E29" s="2"/>
      <x:c r="F29" s="2"/>
      <x:c r="G29" s="2"/>
      <x:c r="H29" s="2"/>
      <x:c r="I29" s="2"/>
      <x:c r="J29" s="2"/>
      <x:c r="K29" s="2"/>
      <x:c r="L29" s="2"/>
    </x:row>
  </x:sheetData>
  <x:pageMargins left="0.7" right="0.7" top="0.75" bottom="0.75" header="0.3" footer="0.3"/>
</x:worksheet>
</file>